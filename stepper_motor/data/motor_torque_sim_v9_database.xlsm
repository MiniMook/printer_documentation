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003\git-repositories-and-data\printer_documentation\stepper_motor\data\"/>
    </mc:Choice>
  </mc:AlternateContent>
  <xr:revisionPtr revIDLastSave="0" documentId="13_ncr:1_{1DD68F35-0A7A-451F-BD45-56ACBD520ED6}" xr6:coauthVersionLast="47" xr6:coauthVersionMax="47" xr10:uidLastSave="{00000000-0000-0000-0000-000000000000}"/>
  <bookViews>
    <workbookView xWindow="3120" yWindow="3120" windowWidth="34845" windowHeight="16320" firstSheet="1" activeTab="1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9"/>
  <definedNames>
    <definedName name="_xlnm._FilterDatabase" localSheetId="4" hidden="1">'Motor Database'!$A$2:$M$26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2" i="30" l="1"/>
  <c r="Q101" i="30"/>
  <c r="Q100" i="30"/>
  <c r="Q99" i="30"/>
  <c r="Q98" i="30"/>
  <c r="Q97" i="30"/>
  <c r="Q96" i="30"/>
  <c r="Q95" i="30"/>
  <c r="Q94" i="30"/>
  <c r="Q93" i="30"/>
  <c r="Q92" i="30"/>
  <c r="Q91" i="30"/>
  <c r="Q90" i="30"/>
  <c r="Q89" i="30"/>
  <c r="Q88" i="30"/>
  <c r="Q87" i="30"/>
  <c r="Q86" i="30"/>
  <c r="Q85" i="30"/>
  <c r="Q84" i="30"/>
  <c r="Q83" i="30"/>
  <c r="Q82" i="30"/>
  <c r="Q81" i="30"/>
  <c r="Q80" i="30"/>
  <c r="Q79" i="30"/>
  <c r="Q78" i="30"/>
  <c r="Q77" i="30"/>
  <c r="Q76" i="30"/>
  <c r="Q75" i="30"/>
  <c r="Q74" i="30"/>
  <c r="Q73" i="30"/>
  <c r="Q72" i="30"/>
  <c r="Q71" i="30"/>
  <c r="Q70" i="30"/>
  <c r="Q69" i="30"/>
  <c r="Q68" i="30"/>
  <c r="Q67" i="30"/>
  <c r="Q66" i="30"/>
  <c r="Q65" i="30"/>
  <c r="Q64" i="30"/>
  <c r="Q63" i="30"/>
  <c r="Q62" i="30"/>
  <c r="Q61" i="30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Q39" i="30"/>
  <c r="Q38" i="30"/>
  <c r="Q37" i="30"/>
  <c r="Q36" i="30"/>
  <c r="Q35" i="30"/>
  <c r="Q34" i="30"/>
  <c r="Q33" i="30"/>
  <c r="Q32" i="30"/>
  <c r="Q31" i="30"/>
  <c r="Q30" i="30"/>
  <c r="Q29" i="30"/>
  <c r="Q28" i="30"/>
  <c r="Q27" i="30"/>
  <c r="Q26" i="30"/>
  <c r="Q25" i="30"/>
  <c r="Q24" i="30"/>
  <c r="Q23" i="30"/>
  <c r="Q22" i="30"/>
  <c r="Q21" i="30"/>
  <c r="Q20" i="30"/>
  <c r="Q19" i="30"/>
  <c r="Q18" i="30"/>
  <c r="Q17" i="30"/>
  <c r="Q16" i="30"/>
  <c r="Q15" i="30"/>
  <c r="Q14" i="30"/>
  <c r="Q13" i="30"/>
  <c r="Q12" i="30"/>
  <c r="Q11" i="30"/>
  <c r="Q10" i="30"/>
  <c r="Q9" i="30"/>
  <c r="Q8" i="30"/>
  <c r="Q7" i="30"/>
  <c r="Q6" i="30"/>
  <c r="Q5" i="30"/>
  <c r="Q4" i="30"/>
  <c r="Q3" i="30"/>
  <c r="C8" i="30"/>
  <c r="N14" i="30" s="1"/>
  <c r="N28" i="30"/>
  <c r="N27" i="30"/>
  <c r="N26" i="30"/>
  <c r="N25" i="30"/>
  <c r="N24" i="30"/>
  <c r="N23" i="30"/>
  <c r="N22" i="30"/>
  <c r="N21" i="30"/>
  <c r="N20" i="30"/>
  <c r="N19" i="30"/>
  <c r="N18" i="30"/>
  <c r="N17" i="30"/>
  <c r="N16" i="30"/>
  <c r="N15" i="30"/>
  <c r="N29" i="30" l="1"/>
  <c r="A28" i="29"/>
  <c r="A8" i="29"/>
  <c r="A29" i="29"/>
  <c r="A22" i="29"/>
  <c r="H35" i="29"/>
  <c r="F2" i="30"/>
  <c r="A11" i="29"/>
  <c r="A23" i="29"/>
  <c r="A24" i="29"/>
  <c r="A9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E4" i="34"/>
  <c r="F4" i="34" s="1"/>
  <c r="G4" i="34" s="1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2" i="30" l="1"/>
  <c r="A15" i="29" l="1"/>
  <c r="O5" i="29"/>
  <c r="A43" i="29"/>
  <c r="A6" i="29"/>
  <c r="A7" i="29"/>
  <c r="A5" i="29"/>
  <c r="A3" i="29"/>
  <c r="A4" i="29"/>
  <c r="A47" i="29"/>
  <c r="H18" i="29"/>
  <c r="A18" i="29"/>
  <c r="A21" i="29"/>
  <c r="H27" i="29"/>
  <c r="A27" i="29"/>
  <c r="A14" i="29"/>
  <c r="A12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7" i="29"/>
  <c r="A10" i="29"/>
  <c r="A46" i="29"/>
  <c r="A45" i="29"/>
  <c r="A42" i="29"/>
  <c r="A41" i="29"/>
  <c r="A17" i="29"/>
  <c r="A19" i="29"/>
  <c r="A25" i="29"/>
  <c r="A13" i="29"/>
  <c r="A26" i="29"/>
  <c r="A20" i="29"/>
  <c r="A36" i="29"/>
  <c r="A33" i="29"/>
  <c r="A16" i="29"/>
  <c r="A35" i="29"/>
  <c r="A39" i="29"/>
  <c r="A40" i="29"/>
  <c r="A31" i="29"/>
  <c r="A44" i="29"/>
  <c r="A30" i="29"/>
  <c r="A34" i="29"/>
  <c r="A38" i="29"/>
  <c r="A32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M21" i="30" s="1"/>
  <c r="J16" i="30"/>
  <c r="L16" i="30" s="1"/>
  <c r="I20" i="30"/>
  <c r="G18" i="30"/>
  <c r="J15" i="30"/>
  <c r="L15" i="30" s="1"/>
  <c r="I19" i="30"/>
  <c r="G17" i="30"/>
  <c r="G14" i="30"/>
  <c r="F14" i="30"/>
  <c r="E14" i="30"/>
  <c r="D14" i="30"/>
  <c r="AJ2" i="30"/>
  <c r="AJ1" i="30"/>
  <c r="AG2" i="30"/>
  <c r="AZ2" i="30" s="1"/>
  <c r="AF2" i="30"/>
  <c r="AY2" i="30" s="1"/>
  <c r="AE2" i="30"/>
  <c r="AX2" i="30" s="1"/>
  <c r="AJ3" i="30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AJ4" i="30"/>
  <c r="M18" i="30" l="1"/>
  <c r="O18" i="30" s="1"/>
  <c r="M14" i="30"/>
  <c r="O14" i="30" s="1"/>
  <c r="M17" i="30"/>
  <c r="O17" i="30" s="1"/>
  <c r="M16" i="30"/>
  <c r="O16" i="30" s="1"/>
  <c r="AH4" i="30"/>
  <c r="E12" i="30"/>
  <c r="K15" i="30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K23" i="30"/>
  <c r="K22" i="30"/>
  <c r="K21" i="30"/>
  <c r="K20" i="30"/>
  <c r="K19" i="30"/>
  <c r="K18" i="30"/>
  <c r="K17" i="30"/>
  <c r="K16" i="30"/>
  <c r="D25" i="30"/>
  <c r="K26" i="30"/>
  <c r="J27" i="30"/>
  <c r="L27" i="30" s="1"/>
  <c r="J28" i="30"/>
  <c r="L28" i="30" s="1"/>
  <c r="J29" i="30"/>
  <c r="L29" i="30" s="1"/>
  <c r="E25" i="30"/>
  <c r="D26" i="30"/>
  <c r="K27" i="30"/>
  <c r="K28" i="30"/>
  <c r="K29" i="30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Q3" i="30"/>
  <c r="AR4" i="30"/>
  <c r="AS4" i="30"/>
  <c r="AL4" i="30"/>
  <c r="AN4" i="30"/>
  <c r="AC3" i="30"/>
  <c r="AM4" i="30"/>
  <c r="AP3" i="30"/>
  <c r="AZ4" i="30"/>
  <c r="W3" i="30"/>
  <c r="AR5" i="30"/>
  <c r="AV3" i="30"/>
  <c r="S3" i="30"/>
  <c r="AO4" i="30"/>
  <c r="T3" i="30"/>
  <c r="AT5" i="30"/>
  <c r="AY4" i="30"/>
  <c r="AQ4" i="30"/>
  <c r="AK3" i="30"/>
  <c r="AZ3" i="30"/>
  <c r="V3" i="30"/>
  <c r="AF3" i="30"/>
  <c r="AK5" i="30"/>
  <c r="AU4" i="30"/>
  <c r="AS3" i="30"/>
  <c r="AN3" i="30"/>
  <c r="R3" i="30"/>
  <c r="AM3" i="30"/>
  <c r="AN5" i="30"/>
  <c r="AM5" i="30"/>
  <c r="AY3" i="30"/>
  <c r="AW3" i="30"/>
  <c r="S5" i="30"/>
  <c r="X3" i="30"/>
  <c r="U3" i="30"/>
  <c r="AZ5" i="30"/>
  <c r="AG3" i="30"/>
  <c r="AK4" i="30"/>
  <c r="AV4" i="30"/>
  <c r="AW4" i="30"/>
  <c r="AW5" i="30"/>
  <c r="AT3" i="30"/>
  <c r="AP5" i="30"/>
  <c r="AQ5" i="30"/>
  <c r="AB3" i="30"/>
  <c r="AO3" i="30"/>
  <c r="AT4" i="30"/>
  <c r="Z3" i="30"/>
  <c r="AA3" i="30"/>
  <c r="AP4" i="30"/>
  <c r="AX4" i="30"/>
  <c r="AR3" i="30"/>
  <c r="AV5" i="30"/>
  <c r="AS5" i="30"/>
  <c r="AY5" i="30"/>
  <c r="Y3" i="30"/>
  <c r="AE3" i="30"/>
  <c r="AO5" i="30"/>
  <c r="AL3" i="30"/>
  <c r="AX5" i="30"/>
  <c r="AU5" i="30"/>
  <c r="AD3" i="30"/>
  <c r="AX3" i="30"/>
  <c r="AL5" i="30"/>
  <c r="AU3" i="30"/>
  <c r="AJ5" i="30" l="1"/>
  <c r="AR6" i="30"/>
  <c r="AE5" i="30"/>
  <c r="AC4" i="30"/>
  <c r="AF5" i="30"/>
  <c r="AD6" i="30"/>
  <c r="U6" i="30"/>
  <c r="AB4" i="30"/>
  <c r="T5" i="30"/>
  <c r="AD4" i="30"/>
  <c r="AT6" i="30"/>
  <c r="V4" i="30"/>
  <c r="AP6" i="30"/>
  <c r="AD5" i="30"/>
  <c r="Z5" i="30"/>
  <c r="V5" i="30"/>
  <c r="U5" i="30"/>
  <c r="V6" i="30"/>
  <c r="AG6" i="30"/>
  <c r="Z4" i="30"/>
  <c r="R4" i="30"/>
  <c r="X4" i="30"/>
  <c r="X5" i="30"/>
  <c r="AF4" i="30"/>
  <c r="AA6" i="30"/>
  <c r="T6" i="30"/>
  <c r="W5" i="30"/>
  <c r="W4" i="30"/>
  <c r="R5" i="30"/>
  <c r="AB6" i="30"/>
  <c r="AC6" i="30"/>
  <c r="Y4" i="30"/>
  <c r="R6" i="30"/>
  <c r="AG5" i="30"/>
  <c r="AF6" i="30"/>
  <c r="AK6" i="30"/>
  <c r="AE6" i="30"/>
  <c r="AM6" i="30"/>
  <c r="AN6" i="30"/>
  <c r="AL6" i="30"/>
  <c r="S6" i="30"/>
  <c r="AA4" i="30"/>
  <c r="AC5" i="30"/>
  <c r="AW6" i="30"/>
  <c r="AY6" i="30"/>
  <c r="AG4" i="30"/>
  <c r="Y6" i="30"/>
  <c r="AX6" i="30"/>
  <c r="S4" i="30"/>
  <c r="T4" i="30"/>
  <c r="U4" i="30"/>
  <c r="X6" i="30"/>
  <c r="AQ6" i="30"/>
  <c r="Y5" i="30"/>
  <c r="W6" i="30"/>
  <c r="AV6" i="30"/>
  <c r="Z6" i="30"/>
  <c r="AB5" i="30"/>
  <c r="AZ6" i="30"/>
  <c r="AE4" i="30"/>
  <c r="AA5" i="30"/>
  <c r="AO6" i="30"/>
  <c r="AS6" i="30"/>
  <c r="AU6" i="30"/>
  <c r="AJ6" i="30" l="1"/>
  <c r="AL7" i="30"/>
  <c r="AG7" i="30"/>
  <c r="AN7" i="30"/>
  <c r="AU7" i="30"/>
  <c r="AF7" i="30"/>
  <c r="AP7" i="30"/>
  <c r="W7" i="30"/>
  <c r="AB7" i="30"/>
  <c r="AV7" i="30"/>
  <c r="R7" i="30"/>
  <c r="AO7" i="30"/>
  <c r="X7" i="30"/>
  <c r="S7" i="30"/>
  <c r="AK7" i="30"/>
  <c r="AE7" i="30"/>
  <c r="AW7" i="30"/>
  <c r="AY7" i="30"/>
  <c r="AT7" i="30"/>
  <c r="AQ7" i="30"/>
  <c r="V7" i="30"/>
  <c r="AS7" i="30"/>
  <c r="U7" i="30"/>
  <c r="AC7" i="30"/>
  <c r="AZ7" i="30"/>
  <c r="AR7" i="30"/>
  <c r="AD7" i="30"/>
  <c r="Y7" i="30"/>
  <c r="AA7" i="30"/>
  <c r="Z7" i="30"/>
  <c r="AM7" i="30"/>
  <c r="T7" i="30"/>
  <c r="AX7" i="30"/>
  <c r="AJ7" i="30" l="1"/>
  <c r="AN8" i="30"/>
  <c r="AX8" i="30"/>
  <c r="AD8" i="30"/>
  <c r="AL8" i="30"/>
  <c r="AO8" i="30"/>
  <c r="R8" i="30"/>
  <c r="U8" i="30"/>
  <c r="AU8" i="30"/>
  <c r="AC8" i="30"/>
  <c r="AT8" i="30"/>
  <c r="W8" i="30"/>
  <c r="AS8" i="30"/>
  <c r="T8" i="30"/>
  <c r="AW8" i="30"/>
  <c r="AZ8" i="30"/>
  <c r="AP8" i="30"/>
  <c r="Y8" i="30"/>
  <c r="V8" i="30"/>
  <c r="AV8" i="30"/>
  <c r="AA8" i="30"/>
  <c r="AY8" i="30"/>
  <c r="Z8" i="30"/>
  <c r="AB8" i="30"/>
  <c r="X8" i="30"/>
  <c r="AM8" i="30"/>
  <c r="AR8" i="30"/>
  <c r="AK8" i="30"/>
  <c r="AF8" i="30"/>
  <c r="AE8" i="30"/>
  <c r="S8" i="30"/>
  <c r="AQ8" i="30"/>
  <c r="AG8" i="30"/>
  <c r="AJ8" i="30" l="1"/>
  <c r="Z9" i="30"/>
  <c r="AG9" i="30"/>
  <c r="AY9" i="30"/>
  <c r="AR9" i="30"/>
  <c r="AO9" i="30"/>
  <c r="W9" i="30"/>
  <c r="AF9" i="30"/>
  <c r="AU9" i="30"/>
  <c r="AX9" i="30"/>
  <c r="AA9" i="30"/>
  <c r="S9" i="30"/>
  <c r="R9" i="30"/>
  <c r="AN9" i="30"/>
  <c r="AD9" i="30"/>
  <c r="AW9" i="30"/>
  <c r="AT9" i="30"/>
  <c r="AE9" i="30"/>
  <c r="AL9" i="30"/>
  <c r="AS9" i="30"/>
  <c r="AB9" i="30"/>
  <c r="U9" i="30"/>
  <c r="AV9" i="30"/>
  <c r="Y9" i="30"/>
  <c r="V9" i="30"/>
  <c r="T9" i="30"/>
  <c r="AK9" i="30"/>
  <c r="AQ9" i="30"/>
  <c r="AP9" i="30"/>
  <c r="AM9" i="30"/>
  <c r="AZ9" i="30"/>
  <c r="AC9" i="30"/>
  <c r="X9" i="30"/>
  <c r="AJ9" i="30" l="1"/>
  <c r="AK10" i="30"/>
  <c r="Y10" i="30"/>
  <c r="AQ10" i="30"/>
  <c r="AZ10" i="30"/>
  <c r="AN10" i="30"/>
  <c r="AM10" i="30"/>
  <c r="X10" i="30"/>
  <c r="AL10" i="30"/>
  <c r="AY10" i="30"/>
  <c r="AD10" i="30"/>
  <c r="W10" i="30"/>
  <c r="Z10" i="30"/>
  <c r="U10" i="30"/>
  <c r="AW10" i="30"/>
  <c r="AE10" i="30"/>
  <c r="AT10" i="30"/>
  <c r="T10" i="30"/>
  <c r="AF10" i="30"/>
  <c r="AV10" i="30"/>
  <c r="AB10" i="30"/>
  <c r="S10" i="30"/>
  <c r="AP10" i="30"/>
  <c r="R10" i="30"/>
  <c r="AX10" i="30"/>
  <c r="AG10" i="30"/>
  <c r="AO10" i="30"/>
  <c r="AU10" i="30"/>
  <c r="AR10" i="30"/>
  <c r="AS10" i="30"/>
  <c r="AC10" i="30"/>
  <c r="V10" i="30"/>
  <c r="AA10" i="30"/>
  <c r="AJ10" i="30" l="1"/>
  <c r="AS11" i="30"/>
  <c r="AA11" i="30"/>
  <c r="AW11" i="30"/>
  <c r="AK11" i="30"/>
  <c r="AG11" i="30"/>
  <c r="Y11" i="30"/>
  <c r="R11" i="30"/>
  <c r="AB11" i="30"/>
  <c r="U11" i="30"/>
  <c r="AU11" i="30"/>
  <c r="X11" i="30"/>
  <c r="AO11" i="30"/>
  <c r="AL11" i="30"/>
  <c r="AQ11" i="30"/>
  <c r="AR11" i="30"/>
  <c r="AF11" i="30"/>
  <c r="AX11" i="30"/>
  <c r="AM11" i="30"/>
  <c r="V11" i="30"/>
  <c r="W11" i="30"/>
  <c r="S11" i="30"/>
  <c r="AE11" i="30"/>
  <c r="Z11" i="30"/>
  <c r="AP11" i="30"/>
  <c r="AD11" i="30"/>
  <c r="AV11" i="30"/>
  <c r="AC11" i="30"/>
  <c r="AT11" i="30"/>
  <c r="AN11" i="30"/>
  <c r="AY11" i="30"/>
  <c r="T11" i="30"/>
  <c r="AZ11" i="30"/>
  <c r="AJ11" i="30" l="1"/>
  <c r="AM12" i="30"/>
  <c r="AB12" i="30"/>
  <c r="AX12" i="30"/>
  <c r="V12" i="30"/>
  <c r="AY12" i="30"/>
  <c r="AG12" i="30"/>
  <c r="AC12" i="30"/>
  <c r="Y12" i="30"/>
  <c r="AL12" i="30"/>
  <c r="AE12" i="30"/>
  <c r="AV12" i="30"/>
  <c r="AQ12" i="30"/>
  <c r="AS12" i="30"/>
  <c r="AD12" i="30"/>
  <c r="U12" i="30"/>
  <c r="AN12" i="30"/>
  <c r="AF12" i="30"/>
  <c r="R12" i="30"/>
  <c r="AO12" i="30"/>
  <c r="W12" i="30"/>
  <c r="X12" i="30"/>
  <c r="T12" i="30"/>
  <c r="AW12" i="30"/>
  <c r="AA12" i="30"/>
  <c r="AP12" i="30"/>
  <c r="AK12" i="30"/>
  <c r="Z12" i="30"/>
  <c r="S12" i="30"/>
  <c r="AZ12" i="30"/>
  <c r="AR12" i="30"/>
  <c r="AT12" i="30"/>
  <c r="AU12" i="30"/>
  <c r="AJ12" i="30" l="1"/>
  <c r="AB13" i="30"/>
  <c r="AC13" i="30"/>
  <c r="AO13" i="30"/>
  <c r="V13" i="30"/>
  <c r="AP13" i="30"/>
  <c r="AU13" i="30"/>
  <c r="AS13" i="30"/>
  <c r="AF13" i="30"/>
  <c r="AX13" i="30"/>
  <c r="X13" i="30"/>
  <c r="AA13" i="30"/>
  <c r="T13" i="30"/>
  <c r="AD13" i="30"/>
  <c r="AR13" i="30"/>
  <c r="AQ13" i="30"/>
  <c r="AM13" i="30"/>
  <c r="Z13" i="30"/>
  <c r="AY13" i="30"/>
  <c r="S13" i="30"/>
  <c r="R13" i="30"/>
  <c r="AG13" i="30"/>
  <c r="AZ13" i="30"/>
  <c r="W13" i="30"/>
  <c r="U13" i="30"/>
  <c r="AL13" i="30"/>
  <c r="AN13" i="30"/>
  <c r="AW13" i="30"/>
  <c r="Y13" i="30"/>
  <c r="AV13" i="30"/>
  <c r="AT13" i="30"/>
  <c r="AE13" i="30"/>
  <c r="AK13" i="30"/>
  <c r="AJ13" i="30" l="1"/>
  <c r="AQ14" i="30"/>
  <c r="AE14" i="30"/>
  <c r="AR14" i="30"/>
  <c r="AC14" i="30"/>
  <c r="T14" i="30"/>
  <c r="U14" i="30"/>
  <c r="AO14" i="30"/>
  <c r="X14" i="30"/>
  <c r="Y14" i="30"/>
  <c r="Z14" i="30"/>
  <c r="AX14" i="30"/>
  <c r="AZ14" i="30"/>
  <c r="AP14" i="30"/>
  <c r="AT14" i="30"/>
  <c r="AM14" i="30"/>
  <c r="AB14" i="30"/>
  <c r="W14" i="30"/>
  <c r="R14" i="30"/>
  <c r="AG14" i="30"/>
  <c r="AF14" i="30"/>
  <c r="AU14" i="30"/>
  <c r="AD14" i="30"/>
  <c r="AS14" i="30"/>
  <c r="AK14" i="30"/>
  <c r="AV14" i="30"/>
  <c r="V14" i="30"/>
  <c r="AL14" i="30"/>
  <c r="AW14" i="30"/>
  <c r="S14" i="30"/>
  <c r="AY14" i="30"/>
  <c r="AN14" i="30"/>
  <c r="AA14" i="30"/>
  <c r="AJ14" i="30" l="1"/>
  <c r="AT15" i="30"/>
  <c r="AZ15" i="30"/>
  <c r="AC15" i="30"/>
  <c r="Y15" i="30"/>
  <c r="AM15" i="30"/>
  <c r="AQ15" i="30"/>
  <c r="AR15" i="30"/>
  <c r="U15" i="30"/>
  <c r="AD15" i="30"/>
  <c r="AW15" i="30"/>
  <c r="AU15" i="30"/>
  <c r="AP15" i="30"/>
  <c r="X15" i="30"/>
  <c r="AL15" i="30"/>
  <c r="AG15" i="30"/>
  <c r="AO15" i="30"/>
  <c r="V15" i="30"/>
  <c r="W15" i="30"/>
  <c r="S15" i="30"/>
  <c r="AK15" i="30"/>
  <c r="AS15" i="30"/>
  <c r="AN15" i="30"/>
  <c r="AA15" i="30"/>
  <c r="R15" i="30"/>
  <c r="AE15" i="30"/>
  <c r="T15" i="30"/>
  <c r="AY15" i="30"/>
  <c r="Z15" i="30"/>
  <c r="AF15" i="30"/>
  <c r="AB15" i="30"/>
  <c r="AV15" i="30"/>
  <c r="AX15" i="30"/>
  <c r="AJ15" i="30" l="1"/>
  <c r="S16" i="30"/>
  <c r="Y16" i="30"/>
  <c r="AZ16" i="30"/>
  <c r="AW16" i="30"/>
  <c r="AX16" i="30"/>
  <c r="AS16" i="30"/>
  <c r="AA16" i="30"/>
  <c r="AM16" i="30"/>
  <c r="AO16" i="30"/>
  <c r="AN16" i="30"/>
  <c r="Z16" i="30"/>
  <c r="AV16" i="30"/>
  <c r="AR16" i="30"/>
  <c r="U16" i="30"/>
  <c r="AK16" i="30"/>
  <c r="AP16" i="30"/>
  <c r="V16" i="30"/>
  <c r="AT16" i="30"/>
  <c r="R16" i="30"/>
  <c r="AE16" i="30"/>
  <c r="AQ16" i="30"/>
  <c r="AB16" i="30"/>
  <c r="AL16" i="30"/>
  <c r="AF16" i="30"/>
  <c r="AU16" i="30"/>
  <c r="T16" i="30"/>
  <c r="X16" i="30"/>
  <c r="AC16" i="30"/>
  <c r="AY16" i="30"/>
  <c r="AD16" i="30"/>
  <c r="W16" i="30"/>
  <c r="AG16" i="30"/>
  <c r="AJ16" i="30" l="1"/>
  <c r="AA17" i="30"/>
  <c r="U17" i="30"/>
  <c r="AS17" i="30"/>
  <c r="AO17" i="30"/>
  <c r="AW17" i="30"/>
  <c r="AT17" i="30"/>
  <c r="AU17" i="30"/>
  <c r="W17" i="30"/>
  <c r="AE17" i="30"/>
  <c r="AM17" i="30"/>
  <c r="X17" i="30"/>
  <c r="AF17" i="30"/>
  <c r="AB17" i="30"/>
  <c r="AD17" i="30"/>
  <c r="AX17" i="30"/>
  <c r="AN17" i="30"/>
  <c r="AR17" i="30"/>
  <c r="Y17" i="30"/>
  <c r="R17" i="30"/>
  <c r="AY17" i="30"/>
  <c r="AK17" i="30"/>
  <c r="AP17" i="30"/>
  <c r="T17" i="30"/>
  <c r="AQ17" i="30"/>
  <c r="AV17" i="30"/>
  <c r="AG17" i="30"/>
  <c r="AZ17" i="30"/>
  <c r="AL17" i="30"/>
  <c r="AC17" i="30"/>
  <c r="V17" i="30"/>
  <c r="Z17" i="30"/>
  <c r="S17" i="30"/>
  <c r="AJ17" i="30" l="1"/>
  <c r="AD18" i="30"/>
  <c r="X18" i="30"/>
  <c r="AA18" i="30"/>
  <c r="T18" i="30"/>
  <c r="S18" i="30"/>
  <c r="AM18" i="30"/>
  <c r="AW18" i="30"/>
  <c r="AX18" i="30"/>
  <c r="AK18" i="30"/>
  <c r="AT18" i="30"/>
  <c r="AS18" i="30"/>
  <c r="AB18" i="30"/>
  <c r="AE18" i="30"/>
  <c r="AZ18" i="30"/>
  <c r="Y18" i="30"/>
  <c r="V18" i="30"/>
  <c r="AN18" i="30"/>
  <c r="AG18" i="30"/>
  <c r="Z18" i="30"/>
  <c r="AV18" i="30"/>
  <c r="AP18" i="30"/>
  <c r="AU18" i="30"/>
  <c r="AY18" i="30"/>
  <c r="U18" i="30"/>
  <c r="AC18" i="30"/>
  <c r="AR18" i="30"/>
  <c r="AO18" i="30"/>
  <c r="AL18" i="30"/>
  <c r="W18" i="30"/>
  <c r="R18" i="30"/>
  <c r="AQ18" i="30"/>
  <c r="AF18" i="30"/>
  <c r="AJ18" i="30" l="1"/>
  <c r="V19" i="30"/>
  <c r="T19" i="30"/>
  <c r="AC19" i="30"/>
  <c r="AV19" i="30"/>
  <c r="U19" i="30"/>
  <c r="AK19" i="30"/>
  <c r="R19" i="30"/>
  <c r="AE19" i="30"/>
  <c r="S19" i="30"/>
  <c r="AG19" i="30"/>
  <c r="AQ19" i="30"/>
  <c r="AZ19" i="30"/>
  <c r="X19" i="30"/>
  <c r="AM19" i="30"/>
  <c r="AT19" i="30"/>
  <c r="AU19" i="30"/>
  <c r="AP19" i="30"/>
  <c r="AN19" i="30"/>
  <c r="AS19" i="30"/>
  <c r="AF19" i="30"/>
  <c r="AD19" i="30"/>
  <c r="AX19" i="30"/>
  <c r="AA19" i="30"/>
  <c r="AW19" i="30"/>
  <c r="Z19" i="30"/>
  <c r="Y19" i="30"/>
  <c r="AY19" i="30"/>
  <c r="AL19" i="30"/>
  <c r="W19" i="30"/>
  <c r="AR19" i="30"/>
  <c r="AB19" i="30"/>
  <c r="AO19" i="30"/>
  <c r="AJ19" i="30" l="1"/>
  <c r="AM20" i="30"/>
  <c r="AT20" i="30"/>
  <c r="AG20" i="30"/>
  <c r="AE20" i="30"/>
  <c r="T20" i="30"/>
  <c r="Y20" i="30"/>
  <c r="AR20" i="30"/>
  <c r="AB20" i="30"/>
  <c r="AF20" i="30"/>
  <c r="AY20" i="30"/>
  <c r="AP20" i="30"/>
  <c r="AX20" i="30"/>
  <c r="AK20" i="30"/>
  <c r="AU20" i="30"/>
  <c r="U20" i="30"/>
  <c r="R20" i="30"/>
  <c r="AL20" i="30"/>
  <c r="AA20" i="30"/>
  <c r="S20" i="30"/>
  <c r="AD20" i="30"/>
  <c r="AN20" i="30"/>
  <c r="AC20" i="30"/>
  <c r="AW20" i="30"/>
  <c r="Z20" i="30"/>
  <c r="AS20" i="30"/>
  <c r="V20" i="30"/>
  <c r="AO20" i="30"/>
  <c r="AZ20" i="30"/>
  <c r="AQ20" i="30"/>
  <c r="X20" i="30"/>
  <c r="AV20" i="30"/>
  <c r="W20" i="30"/>
  <c r="AJ20" i="30" l="1"/>
  <c r="AN21" i="30"/>
  <c r="AQ21" i="30"/>
  <c r="AO21" i="30"/>
  <c r="AL21" i="30"/>
  <c r="X21" i="30"/>
  <c r="Y21" i="30"/>
  <c r="AZ21" i="30"/>
  <c r="AY21" i="30"/>
  <c r="T21" i="30"/>
  <c r="Z21" i="30"/>
  <c r="S21" i="30"/>
  <c r="AA21" i="30"/>
  <c r="R21" i="30"/>
  <c r="AV21" i="30"/>
  <c r="AR21" i="30"/>
  <c r="AD21" i="30"/>
  <c r="U21" i="30"/>
  <c r="W21" i="30"/>
  <c r="AX21" i="30"/>
  <c r="AF21" i="30"/>
  <c r="AC21" i="30"/>
  <c r="AW21" i="30"/>
  <c r="AP21" i="30"/>
  <c r="AT21" i="30"/>
  <c r="AM21" i="30"/>
  <c r="AB21" i="30"/>
  <c r="AK21" i="30"/>
  <c r="AU21" i="30"/>
  <c r="V21" i="30"/>
  <c r="AE21" i="30"/>
  <c r="AS21" i="30"/>
  <c r="AG21" i="30"/>
  <c r="AJ21" i="30" l="1"/>
  <c r="AM22" i="30"/>
  <c r="Z22" i="30"/>
  <c r="R22" i="30"/>
  <c r="S22" i="30"/>
  <c r="AA22" i="30"/>
  <c r="AN22" i="30"/>
  <c r="AS22" i="30"/>
  <c r="AC22" i="30"/>
  <c r="AO22" i="30"/>
  <c r="AL22" i="30"/>
  <c r="AV22" i="30"/>
  <c r="AQ22" i="30"/>
  <c r="V22" i="30"/>
  <c r="T22" i="30"/>
  <c r="X22" i="30"/>
  <c r="AZ22" i="30"/>
  <c r="AF22" i="30"/>
  <c r="AU22" i="30"/>
  <c r="AD22" i="30"/>
  <c r="AB22" i="30"/>
  <c r="AY22" i="30"/>
  <c r="AR22" i="30"/>
  <c r="W22" i="30"/>
  <c r="Y22" i="30"/>
  <c r="AK22" i="30"/>
  <c r="AX22" i="30"/>
  <c r="U22" i="30"/>
  <c r="AW22" i="30"/>
  <c r="AE22" i="30"/>
  <c r="AG22" i="30"/>
  <c r="AT22" i="30"/>
  <c r="AP22" i="30"/>
  <c r="AJ22" i="30" l="1"/>
  <c r="AQ23" i="30"/>
  <c r="AA23" i="30"/>
  <c r="T23" i="30"/>
  <c r="AC23" i="30"/>
  <c r="Y23" i="30"/>
  <c r="AO23" i="30"/>
  <c r="AW23" i="30"/>
  <c r="AM23" i="30"/>
  <c r="AF23" i="30"/>
  <c r="AX23" i="30"/>
  <c r="AY23" i="30"/>
  <c r="AP23" i="30"/>
  <c r="AB23" i="30"/>
  <c r="AL23" i="30"/>
  <c r="U23" i="30"/>
  <c r="V23" i="30"/>
  <c r="R23" i="30"/>
  <c r="W23" i="30"/>
  <c r="X23" i="30"/>
  <c r="AN23" i="30"/>
  <c r="AT23" i="30"/>
  <c r="AG23" i="30"/>
  <c r="AE23" i="30"/>
  <c r="AS23" i="30"/>
  <c r="AV23" i="30"/>
  <c r="AD23" i="30"/>
  <c r="AR23" i="30"/>
  <c r="Z23" i="30"/>
  <c r="AZ23" i="30"/>
  <c r="AK23" i="30"/>
  <c r="S23" i="30"/>
  <c r="AU23" i="30"/>
  <c r="AJ23" i="30" l="1"/>
  <c r="W24" i="30"/>
  <c r="AV24" i="30"/>
  <c r="R24" i="30"/>
  <c r="AA24" i="30"/>
  <c r="T24" i="30"/>
  <c r="X24" i="30"/>
  <c r="AX24" i="30"/>
  <c r="AD24" i="30"/>
  <c r="AF24" i="30"/>
  <c r="Y24" i="30"/>
  <c r="AP24" i="30"/>
  <c r="AN24" i="30"/>
  <c r="AU24" i="30"/>
  <c r="AG24" i="30"/>
  <c r="AT24" i="30"/>
  <c r="U24" i="30"/>
  <c r="AM24" i="30"/>
  <c r="AE24" i="30"/>
  <c r="AC24" i="30"/>
  <c r="AR24" i="30"/>
  <c r="AB24" i="30"/>
  <c r="AO24" i="30"/>
  <c r="AS24" i="30"/>
  <c r="AW24" i="30"/>
  <c r="S24" i="30"/>
  <c r="AQ24" i="30"/>
  <c r="Z24" i="30"/>
  <c r="AL24" i="30"/>
  <c r="V24" i="30"/>
  <c r="AZ24" i="30"/>
  <c r="AY24" i="30"/>
  <c r="AK24" i="30"/>
  <c r="AJ24" i="30" l="1"/>
  <c r="AK25" i="30"/>
  <c r="AL25" i="30"/>
  <c r="AB25" i="30"/>
  <c r="X25" i="30"/>
  <c r="Y25" i="30"/>
  <c r="S25" i="30"/>
  <c r="V25" i="30"/>
  <c r="AS25" i="30"/>
  <c r="AQ25" i="30"/>
  <c r="AR25" i="30"/>
  <c r="R25" i="30"/>
  <c r="AO25" i="30"/>
  <c r="U25" i="30"/>
  <c r="AD25" i="30"/>
  <c r="AV25" i="30"/>
  <c r="AW25" i="30"/>
  <c r="AN25" i="30"/>
  <c r="AA25" i="30"/>
  <c r="Z25" i="30"/>
  <c r="W25" i="30"/>
  <c r="AE25" i="30"/>
  <c r="AZ25" i="30"/>
  <c r="AU25" i="30"/>
  <c r="AY25" i="30"/>
  <c r="AX25" i="30"/>
  <c r="AC25" i="30"/>
  <c r="AM25" i="30"/>
  <c r="T25" i="30"/>
  <c r="AG25" i="30"/>
  <c r="AF25" i="30"/>
  <c r="AT25" i="30"/>
  <c r="AP25" i="30"/>
  <c r="AJ25" i="30" l="1"/>
  <c r="Y26" i="30"/>
  <c r="AZ26" i="30"/>
  <c r="Z26" i="30"/>
  <c r="AQ26" i="30"/>
  <c r="T26" i="30"/>
  <c r="AP26" i="30"/>
  <c r="AB26" i="30"/>
  <c r="AF26" i="30"/>
  <c r="AN26" i="30"/>
  <c r="AR26" i="30"/>
  <c r="AD26" i="30"/>
  <c r="AL26" i="30"/>
  <c r="AA26" i="30"/>
  <c r="R26" i="30"/>
  <c r="AC26" i="30"/>
  <c r="AX26" i="30"/>
  <c r="AG26" i="30"/>
  <c r="AU26" i="30"/>
  <c r="AE26" i="30"/>
  <c r="AO26" i="30"/>
  <c r="AW26" i="30"/>
  <c r="S26" i="30"/>
  <c r="U26" i="30"/>
  <c r="W26" i="30"/>
  <c r="V26" i="30"/>
  <c r="X26" i="30"/>
  <c r="AV26" i="30"/>
  <c r="AS26" i="30"/>
  <c r="AY26" i="30"/>
  <c r="AK26" i="30"/>
  <c r="AM26" i="30"/>
  <c r="AT26" i="30"/>
  <c r="AJ26" i="30" l="1"/>
  <c r="V27" i="30"/>
  <c r="AM27" i="30"/>
  <c r="AU27" i="30"/>
  <c r="AY27" i="30"/>
  <c r="AO27" i="30"/>
  <c r="AS27" i="30"/>
  <c r="U27" i="30"/>
  <c r="W27" i="30"/>
  <c r="AT27" i="30"/>
  <c r="AL27" i="30"/>
  <c r="AV27" i="30"/>
  <c r="Y27" i="30"/>
  <c r="AQ27" i="30"/>
  <c r="AA27" i="30"/>
  <c r="X27" i="30"/>
  <c r="AF27" i="30"/>
  <c r="T27" i="30"/>
  <c r="AW27" i="30"/>
  <c r="AG27" i="30"/>
  <c r="AR27" i="30"/>
  <c r="AK27" i="30"/>
  <c r="AB27" i="30"/>
  <c r="AN27" i="30"/>
  <c r="AP27" i="30"/>
  <c r="AX27" i="30"/>
  <c r="Z27" i="30"/>
  <c r="AZ27" i="30"/>
  <c r="S27" i="30"/>
  <c r="AC27" i="30"/>
  <c r="R27" i="30"/>
  <c r="AE27" i="30"/>
  <c r="AD27" i="30"/>
  <c r="AJ27" i="30" l="1"/>
  <c r="AW28" i="30"/>
  <c r="AB28" i="30"/>
  <c r="AQ28" i="30"/>
  <c r="AA28" i="30"/>
  <c r="AD28" i="30"/>
  <c r="AU28" i="30"/>
  <c r="AS28" i="30"/>
  <c r="AX28" i="30"/>
  <c r="AV28" i="30"/>
  <c r="AM28" i="30"/>
  <c r="AP28" i="30"/>
  <c r="AE28" i="30"/>
  <c r="AT28" i="30"/>
  <c r="W28" i="30"/>
  <c r="T28" i="30"/>
  <c r="AR28" i="30"/>
  <c r="AL28" i="30"/>
  <c r="Z28" i="30"/>
  <c r="AN28" i="30"/>
  <c r="AF28" i="30"/>
  <c r="V28" i="30"/>
  <c r="AC28" i="30"/>
  <c r="AK28" i="30"/>
  <c r="X28" i="30"/>
  <c r="AZ28" i="30"/>
  <c r="AO28" i="30"/>
  <c r="AG28" i="30"/>
  <c r="S28" i="30"/>
  <c r="AY28" i="30"/>
  <c r="Y28" i="30"/>
  <c r="U28" i="30"/>
  <c r="R28" i="30"/>
  <c r="AJ28" i="30" l="1"/>
  <c r="AE29" i="30"/>
  <c r="AO29" i="30"/>
  <c r="AW29" i="30"/>
  <c r="AT29" i="30"/>
  <c r="AK29" i="30"/>
  <c r="AY29" i="30"/>
  <c r="AX29" i="30"/>
  <c r="AC29" i="30"/>
  <c r="Y29" i="30"/>
  <c r="AM29" i="30"/>
  <c r="AL29" i="30"/>
  <c r="U29" i="30"/>
  <c r="W29" i="30"/>
  <c r="AG29" i="30"/>
  <c r="R29" i="30"/>
  <c r="AD29" i="30"/>
  <c r="AR29" i="30"/>
  <c r="AB29" i="30"/>
  <c r="V29" i="30"/>
  <c r="AA29" i="30"/>
  <c r="AV29" i="30"/>
  <c r="X29" i="30"/>
  <c r="AS29" i="30"/>
  <c r="AZ29" i="30"/>
  <c r="AP29" i="30"/>
  <c r="AU29" i="30"/>
  <c r="Z29" i="30"/>
  <c r="AQ29" i="30"/>
  <c r="AN29" i="30"/>
  <c r="AF29" i="30"/>
  <c r="S29" i="30"/>
  <c r="T29" i="30"/>
  <c r="AJ29" i="30" l="1"/>
  <c r="AP30" i="30"/>
  <c r="AR30" i="30"/>
  <c r="X30" i="30"/>
  <c r="AO30" i="30"/>
  <c r="AQ30" i="30"/>
  <c r="T30" i="30"/>
  <c r="AD30" i="30"/>
  <c r="AZ30" i="30"/>
  <c r="S30" i="30"/>
  <c r="AW30" i="30"/>
  <c r="AV30" i="30"/>
  <c r="R30" i="30"/>
  <c r="AT30" i="30"/>
  <c r="Z30" i="30"/>
  <c r="AB30" i="30"/>
  <c r="AC30" i="30"/>
  <c r="AX30" i="30"/>
  <c r="W30" i="30"/>
  <c r="AS30" i="30"/>
  <c r="AN30" i="30"/>
  <c r="AG30" i="30"/>
  <c r="AM30" i="30"/>
  <c r="AE30" i="30"/>
  <c r="AF30" i="30"/>
  <c r="AY30" i="30"/>
  <c r="AU30" i="30"/>
  <c r="AL30" i="30"/>
  <c r="AK30" i="30"/>
  <c r="V30" i="30"/>
  <c r="Y30" i="30"/>
  <c r="U30" i="30"/>
  <c r="AA30" i="30"/>
  <c r="AJ30" i="30" l="1"/>
  <c r="Z31" i="30"/>
  <c r="AS31" i="30"/>
  <c r="AP31" i="30"/>
  <c r="V31" i="30"/>
  <c r="AR31" i="30"/>
  <c r="AD31" i="30"/>
  <c r="U31" i="30"/>
  <c r="AW31" i="30"/>
  <c r="AM31" i="30"/>
  <c r="AB31" i="30"/>
  <c r="AU31" i="30"/>
  <c r="T31" i="30"/>
  <c r="S31" i="30"/>
  <c r="AK31" i="30"/>
  <c r="AO31" i="30"/>
  <c r="W31" i="30"/>
  <c r="AL31" i="30"/>
  <c r="AQ31" i="30"/>
  <c r="AX31" i="30"/>
  <c r="AG31" i="30"/>
  <c r="AV31" i="30"/>
  <c r="Y31" i="30"/>
  <c r="AT31" i="30"/>
  <c r="AY31" i="30"/>
  <c r="AN31" i="30"/>
  <c r="X31" i="30"/>
  <c r="AE31" i="30"/>
  <c r="AC31" i="30"/>
  <c r="R31" i="30"/>
  <c r="AA31" i="30"/>
  <c r="AF31" i="30"/>
  <c r="AZ31" i="30"/>
  <c r="AJ31" i="30" l="1"/>
  <c r="AB32" i="30"/>
  <c r="AE32" i="30"/>
  <c r="S32" i="30"/>
  <c r="AA32" i="30"/>
  <c r="W32" i="30"/>
  <c r="AO32" i="30"/>
  <c r="AL32" i="30"/>
  <c r="X32" i="30"/>
  <c r="AM32" i="30"/>
  <c r="AC32" i="30"/>
  <c r="R32" i="30"/>
  <c r="AQ32" i="30"/>
  <c r="Y32" i="30"/>
  <c r="AR32" i="30"/>
  <c r="Z32" i="30"/>
  <c r="AU32" i="30"/>
  <c r="AG32" i="30"/>
  <c r="U32" i="30"/>
  <c r="AV32" i="30"/>
  <c r="AY32" i="30"/>
  <c r="AF32" i="30"/>
  <c r="T32" i="30"/>
  <c r="AN32" i="30"/>
  <c r="AX32" i="30"/>
  <c r="AK32" i="30"/>
  <c r="AD32" i="30"/>
  <c r="AZ32" i="30"/>
  <c r="V32" i="30"/>
  <c r="AP32" i="30"/>
  <c r="AW32" i="30"/>
  <c r="AS32" i="30"/>
  <c r="AT32" i="30"/>
  <c r="AJ32" i="30" l="1"/>
  <c r="AD33" i="30"/>
  <c r="AE33" i="30"/>
  <c r="Y33" i="30"/>
  <c r="AU33" i="30"/>
  <c r="AQ33" i="30"/>
  <c r="AY33" i="30"/>
  <c r="T33" i="30"/>
  <c r="AS33" i="30"/>
  <c r="AX33" i="30"/>
  <c r="AB33" i="30"/>
  <c r="W33" i="30"/>
  <c r="AR33" i="30"/>
  <c r="AN33" i="30"/>
  <c r="AZ33" i="30"/>
  <c r="AM33" i="30"/>
  <c r="AT33" i="30"/>
  <c r="AV33" i="30"/>
  <c r="X33" i="30"/>
  <c r="AL33" i="30"/>
  <c r="Z33" i="30"/>
  <c r="AF33" i="30"/>
  <c r="AC33" i="30"/>
  <c r="AK33" i="30"/>
  <c r="U33" i="30"/>
  <c r="AW33" i="30"/>
  <c r="AG33" i="30"/>
  <c r="AO33" i="30"/>
  <c r="V33" i="30"/>
  <c r="AA33" i="30"/>
  <c r="S33" i="30"/>
  <c r="AP33" i="30"/>
  <c r="R33" i="30"/>
  <c r="AJ33" i="30" l="1"/>
  <c r="S34" i="30"/>
  <c r="AL34" i="30"/>
  <c r="AQ34" i="30"/>
  <c r="AN34" i="30"/>
  <c r="Y34" i="30"/>
  <c r="AK34" i="30"/>
  <c r="AB34" i="30"/>
  <c r="AP34" i="30"/>
  <c r="AM34" i="30"/>
  <c r="W34" i="30"/>
  <c r="AA34" i="30"/>
  <c r="AZ34" i="30"/>
  <c r="AX34" i="30"/>
  <c r="AC34" i="30"/>
  <c r="AV34" i="30"/>
  <c r="R34" i="30"/>
  <c r="AT34" i="30"/>
  <c r="AG34" i="30"/>
  <c r="X34" i="30"/>
  <c r="AY34" i="30"/>
  <c r="AU34" i="30"/>
  <c r="AW34" i="30"/>
  <c r="AS34" i="30"/>
  <c r="AR34" i="30"/>
  <c r="U34" i="30"/>
  <c r="V34" i="30"/>
  <c r="AE34" i="30"/>
  <c r="AF34" i="30"/>
  <c r="Z34" i="30"/>
  <c r="AD34" i="30"/>
  <c r="AO34" i="30"/>
  <c r="T34" i="30"/>
  <c r="AJ34" i="30" l="1"/>
  <c r="AU35" i="30"/>
  <c r="Y35" i="30"/>
  <c r="AK35" i="30"/>
  <c r="AT35" i="30"/>
  <c r="U35" i="30"/>
  <c r="AD35" i="30"/>
  <c r="AA35" i="30"/>
  <c r="AX35" i="30"/>
  <c r="AM35" i="30"/>
  <c r="W35" i="30"/>
  <c r="AS35" i="30"/>
  <c r="AL35" i="30"/>
  <c r="AZ35" i="30"/>
  <c r="AP35" i="30"/>
  <c r="T35" i="30"/>
  <c r="AV35" i="30"/>
  <c r="AE35" i="30"/>
  <c r="S35" i="30"/>
  <c r="AQ35" i="30"/>
  <c r="X35" i="30"/>
  <c r="AC35" i="30"/>
  <c r="AY35" i="30"/>
  <c r="AG35" i="30"/>
  <c r="AW35" i="30"/>
  <c r="AR35" i="30"/>
  <c r="R35" i="30"/>
  <c r="AO35" i="30"/>
  <c r="Z35" i="30"/>
  <c r="V35" i="30"/>
  <c r="AN35" i="30"/>
  <c r="AB35" i="30"/>
  <c r="AF35" i="30"/>
  <c r="AJ35" i="30" l="1"/>
  <c r="X36" i="30"/>
  <c r="AW36" i="30"/>
  <c r="AA36" i="30"/>
  <c r="AV36" i="30"/>
  <c r="AM36" i="30"/>
  <c r="AN36" i="30"/>
  <c r="AF36" i="30"/>
  <c r="AR36" i="30"/>
  <c r="T36" i="30"/>
  <c r="AS36" i="30"/>
  <c r="AG36" i="30"/>
  <c r="AL36" i="30"/>
  <c r="V36" i="30"/>
  <c r="AU36" i="30"/>
  <c r="AD36" i="30"/>
  <c r="AQ36" i="30"/>
  <c r="Y36" i="30"/>
  <c r="AC36" i="30"/>
  <c r="AP36" i="30"/>
  <c r="AX36" i="30"/>
  <c r="AT36" i="30"/>
  <c r="AE36" i="30"/>
  <c r="AO36" i="30"/>
  <c r="W36" i="30"/>
  <c r="AY36" i="30"/>
  <c r="AK36" i="30"/>
  <c r="U36" i="30"/>
  <c r="Z36" i="30"/>
  <c r="R36" i="30"/>
  <c r="AZ36" i="30"/>
  <c r="AB36" i="30"/>
  <c r="S36" i="30"/>
  <c r="AJ36" i="30" l="1"/>
  <c r="T37" i="30"/>
  <c r="V37" i="30"/>
  <c r="AX37" i="30"/>
  <c r="Y37" i="30"/>
  <c r="AG37" i="30"/>
  <c r="AQ37" i="30"/>
  <c r="AA37" i="30"/>
  <c r="AE37" i="30"/>
  <c r="S37" i="30"/>
  <c r="U37" i="30"/>
  <c r="X37" i="30"/>
  <c r="AZ37" i="30"/>
  <c r="AO37" i="30"/>
  <c r="AL37" i="30"/>
  <c r="AM37" i="30"/>
  <c r="AC37" i="30"/>
  <c r="AY37" i="30"/>
  <c r="AS37" i="30"/>
  <c r="AK37" i="30"/>
  <c r="W37" i="30"/>
  <c r="AP37" i="30"/>
  <c r="AD37" i="30"/>
  <c r="AT37" i="30"/>
  <c r="AU37" i="30"/>
  <c r="AB37" i="30"/>
  <c r="AW37" i="30"/>
  <c r="AN37" i="30"/>
  <c r="R37" i="30"/>
  <c r="AF37" i="30"/>
  <c r="AR37" i="30"/>
  <c r="Z37" i="30"/>
  <c r="AV37" i="30"/>
  <c r="AJ37" i="30" l="1"/>
  <c r="Y38" i="30"/>
  <c r="U38" i="30"/>
  <c r="AW38" i="30"/>
  <c r="AF38" i="30"/>
  <c r="Z38" i="30"/>
  <c r="AE38" i="30"/>
  <c r="S38" i="30"/>
  <c r="AQ38" i="30"/>
  <c r="AG38" i="30"/>
  <c r="R38" i="30"/>
  <c r="AB38" i="30"/>
  <c r="AK38" i="30"/>
  <c r="AR38" i="30"/>
  <c r="AN38" i="30"/>
  <c r="AX38" i="30"/>
  <c r="AD38" i="30"/>
  <c r="T38" i="30"/>
  <c r="W38" i="30"/>
  <c r="V38" i="30"/>
  <c r="AM38" i="30"/>
  <c r="AU38" i="30"/>
  <c r="AV38" i="30"/>
  <c r="AL38" i="30"/>
  <c r="AC38" i="30"/>
  <c r="X38" i="30"/>
  <c r="AY38" i="30"/>
  <c r="AA38" i="30"/>
  <c r="AT38" i="30"/>
  <c r="AO38" i="30"/>
  <c r="AP38" i="30"/>
  <c r="AS38" i="30"/>
  <c r="AZ38" i="30"/>
  <c r="AJ38" i="30" l="1"/>
  <c r="AZ39" i="30"/>
  <c r="AR39" i="30"/>
  <c r="AC39" i="30"/>
  <c r="AM39" i="30"/>
  <c r="AL39" i="30"/>
  <c r="V39" i="30"/>
  <c r="AG39" i="30"/>
  <c r="Y39" i="30"/>
  <c r="AQ39" i="30"/>
  <c r="AK39" i="30"/>
  <c r="AP39" i="30"/>
  <c r="AV39" i="30"/>
  <c r="AA39" i="30"/>
  <c r="AB39" i="30"/>
  <c r="AE39" i="30"/>
  <c r="S39" i="30"/>
  <c r="T39" i="30"/>
  <c r="AU39" i="30"/>
  <c r="AF39" i="30"/>
  <c r="AD39" i="30"/>
  <c r="AO39" i="30"/>
  <c r="R39" i="30"/>
  <c r="U39" i="30"/>
  <c r="AX39" i="30"/>
  <c r="X39" i="30"/>
  <c r="AT39" i="30"/>
  <c r="W39" i="30"/>
  <c r="AS39" i="30"/>
  <c r="AY39" i="30"/>
  <c r="Z39" i="30"/>
  <c r="AN39" i="30"/>
  <c r="AW39" i="30"/>
  <c r="AJ39" i="30" l="1"/>
  <c r="AM40" i="30"/>
  <c r="AT40" i="30"/>
  <c r="AR40" i="30"/>
  <c r="T40" i="30"/>
  <c r="AV40" i="30"/>
  <c r="AE40" i="30"/>
  <c r="AA40" i="30"/>
  <c r="AN40" i="30"/>
  <c r="R40" i="30"/>
  <c r="AB40" i="30"/>
  <c r="AP40" i="30"/>
  <c r="AF40" i="30"/>
  <c r="AX40" i="30"/>
  <c r="Y40" i="30"/>
  <c r="AZ40" i="30"/>
  <c r="AC40" i="30"/>
  <c r="AW40" i="30"/>
  <c r="S40" i="30"/>
  <c r="AD40" i="30"/>
  <c r="AL40" i="30"/>
  <c r="AG40" i="30"/>
  <c r="AU40" i="30"/>
  <c r="AQ40" i="30"/>
  <c r="Z40" i="30"/>
  <c r="X40" i="30"/>
  <c r="AY40" i="30"/>
  <c r="AS40" i="30"/>
  <c r="AO40" i="30"/>
  <c r="U40" i="30"/>
  <c r="W40" i="30"/>
  <c r="V40" i="30"/>
  <c r="AK40" i="30"/>
  <c r="AJ40" i="30" l="1"/>
  <c r="U41" i="30"/>
  <c r="R41" i="30"/>
  <c r="W41" i="30"/>
  <c r="AZ41" i="30"/>
  <c r="AU41" i="30"/>
  <c r="AB41" i="30"/>
  <c r="AV41" i="30"/>
  <c r="AY41" i="30"/>
  <c r="V41" i="30"/>
  <c r="AO41" i="30"/>
  <c r="AM41" i="30"/>
  <c r="AE41" i="30"/>
  <c r="AF41" i="30"/>
  <c r="T41" i="30"/>
  <c r="AQ41" i="30"/>
  <c r="AW41" i="30"/>
  <c r="AL41" i="30"/>
  <c r="X41" i="30"/>
  <c r="AP41" i="30"/>
  <c r="AN41" i="30"/>
  <c r="AX41" i="30"/>
  <c r="AK41" i="30"/>
  <c r="AS41" i="30"/>
  <c r="S41" i="30"/>
  <c r="Y41" i="30"/>
  <c r="AD41" i="30"/>
  <c r="AC41" i="30"/>
  <c r="AG41" i="30"/>
  <c r="AA41" i="30"/>
  <c r="Z41" i="30"/>
  <c r="AR41" i="30"/>
  <c r="AT41" i="30"/>
  <c r="AJ41" i="30" l="1"/>
  <c r="V42" i="30"/>
  <c r="AA42" i="30"/>
  <c r="S42" i="30"/>
  <c r="AC42" i="30"/>
  <c r="AS42" i="30"/>
  <c r="AB42" i="30"/>
  <c r="AE42" i="30"/>
  <c r="AN42" i="30"/>
  <c r="AL42" i="30"/>
  <c r="AD42" i="30"/>
  <c r="AW42" i="30"/>
  <c r="U42" i="30"/>
  <c r="AK42" i="30"/>
  <c r="AQ42" i="30"/>
  <c r="AO42" i="30"/>
  <c r="AZ42" i="30"/>
  <c r="AM42" i="30"/>
  <c r="R42" i="30"/>
  <c r="AX42" i="30"/>
  <c r="AT42" i="30"/>
  <c r="W42" i="30"/>
  <c r="AG42" i="30"/>
  <c r="AY42" i="30"/>
  <c r="AP42" i="30"/>
  <c r="X42" i="30"/>
  <c r="AR42" i="30"/>
  <c r="Y42" i="30"/>
  <c r="AF42" i="30"/>
  <c r="T42" i="30"/>
  <c r="AV42" i="30"/>
  <c r="AU42" i="30"/>
  <c r="Z42" i="30"/>
  <c r="AJ42" i="30" l="1"/>
  <c r="AG43" i="30"/>
  <c r="AW43" i="30"/>
  <c r="AV43" i="30"/>
  <c r="AP43" i="30"/>
  <c r="AK43" i="30"/>
  <c r="V43" i="30"/>
  <c r="T43" i="30"/>
  <c r="AQ43" i="30"/>
  <c r="Z43" i="30"/>
  <c r="AS43" i="30"/>
  <c r="AU43" i="30"/>
  <c r="AC43" i="30"/>
  <c r="AM43" i="30"/>
  <c r="U43" i="30"/>
  <c r="AR43" i="30"/>
  <c r="W43" i="30"/>
  <c r="S43" i="30"/>
  <c r="AA43" i="30"/>
  <c r="AE43" i="30"/>
  <c r="AD43" i="30"/>
  <c r="AF43" i="30"/>
  <c r="AO43" i="30"/>
  <c r="X43" i="30"/>
  <c r="AT43" i="30"/>
  <c r="AB43" i="30"/>
  <c r="AN43" i="30"/>
  <c r="R43" i="30"/>
  <c r="AX43" i="30"/>
  <c r="AY43" i="30"/>
  <c r="Y43" i="30"/>
  <c r="AZ43" i="30"/>
  <c r="AL43" i="30"/>
  <c r="AJ43" i="30" l="1"/>
  <c r="AM44" i="30"/>
  <c r="AT44" i="30"/>
  <c r="W44" i="30"/>
  <c r="AO44" i="30"/>
  <c r="AW44" i="30"/>
  <c r="AF44" i="30"/>
  <c r="AC44" i="30"/>
  <c r="AA44" i="30"/>
  <c r="AB44" i="30"/>
  <c r="AS44" i="30"/>
  <c r="R44" i="30"/>
  <c r="AZ44" i="30"/>
  <c r="AK44" i="30"/>
  <c r="AN44" i="30"/>
  <c r="X44" i="30"/>
  <c r="AD44" i="30"/>
  <c r="AU44" i="30"/>
  <c r="T44" i="30"/>
  <c r="U44" i="30"/>
  <c r="AL44" i="30"/>
  <c r="Y44" i="30"/>
  <c r="AV44" i="30"/>
  <c r="V44" i="30"/>
  <c r="AE44" i="30"/>
  <c r="Z44" i="30"/>
  <c r="AY44" i="30"/>
  <c r="S44" i="30"/>
  <c r="AX44" i="30"/>
  <c r="AR44" i="30"/>
  <c r="AP44" i="30"/>
  <c r="AQ44" i="30"/>
  <c r="AG44" i="30"/>
  <c r="AJ44" i="30" l="1"/>
  <c r="AA45" i="30"/>
  <c r="AE45" i="30"/>
  <c r="AO45" i="30"/>
  <c r="S45" i="30"/>
  <c r="U45" i="30"/>
  <c r="AX45" i="30"/>
  <c r="AT45" i="30"/>
  <c r="AL45" i="30"/>
  <c r="V45" i="30"/>
  <c r="X45" i="30"/>
  <c r="AW45" i="30"/>
  <c r="AB45" i="30"/>
  <c r="AG45" i="30"/>
  <c r="AM45" i="30"/>
  <c r="AY45" i="30"/>
  <c r="AF45" i="30"/>
  <c r="AV45" i="30"/>
  <c r="Y45" i="30"/>
  <c r="AD45" i="30"/>
  <c r="AR45" i="30"/>
  <c r="AS45" i="30"/>
  <c r="AZ45" i="30"/>
  <c r="T45" i="30"/>
  <c r="AU45" i="30"/>
  <c r="AK45" i="30"/>
  <c r="R45" i="30"/>
  <c r="AQ45" i="30"/>
  <c r="AC45" i="30"/>
  <c r="AP45" i="30"/>
  <c r="AN45" i="30"/>
  <c r="Z45" i="30"/>
  <c r="W45" i="30"/>
  <c r="AJ45" i="30" l="1"/>
  <c r="AL46" i="30"/>
  <c r="AE46" i="30"/>
  <c r="X46" i="30"/>
  <c r="AT46" i="30"/>
  <c r="AB46" i="30"/>
  <c r="V46" i="30"/>
  <c r="W46" i="30"/>
  <c r="AO46" i="30"/>
  <c r="T46" i="30"/>
  <c r="AV46" i="30"/>
  <c r="R46" i="30"/>
  <c r="AC46" i="30"/>
  <c r="AD46" i="30"/>
  <c r="AK46" i="30"/>
  <c r="S46" i="30"/>
  <c r="AP46" i="30"/>
  <c r="AA46" i="30"/>
  <c r="AY46" i="30"/>
  <c r="Y46" i="30"/>
  <c r="AN46" i="30"/>
  <c r="AS46" i="30"/>
  <c r="AZ46" i="30"/>
  <c r="AU46" i="30"/>
  <c r="AM46" i="30"/>
  <c r="AG46" i="30"/>
  <c r="U46" i="30"/>
  <c r="AR46" i="30"/>
  <c r="AQ46" i="30"/>
  <c r="AX46" i="30"/>
  <c r="Z46" i="30"/>
  <c r="AF46" i="30"/>
  <c r="AW46" i="30"/>
  <c r="AJ46" i="30" l="1"/>
  <c r="AQ47" i="30"/>
  <c r="AY47" i="30"/>
  <c r="AS47" i="30"/>
  <c r="AP47" i="30"/>
  <c r="AT47" i="30"/>
  <c r="W47" i="30"/>
  <c r="AA47" i="30"/>
  <c r="AU47" i="30"/>
  <c r="AZ47" i="30"/>
  <c r="S47" i="30"/>
  <c r="AD47" i="30"/>
  <c r="AC47" i="30"/>
  <c r="AN47" i="30"/>
  <c r="AM47" i="30"/>
  <c r="AV47" i="30"/>
  <c r="Z47" i="30"/>
  <c r="T47" i="30"/>
  <c r="AG47" i="30"/>
  <c r="AE47" i="30"/>
  <c r="AF47" i="30"/>
  <c r="X47" i="30"/>
  <c r="AO47" i="30"/>
  <c r="V47" i="30"/>
  <c r="Y47" i="30"/>
  <c r="AX47" i="30"/>
  <c r="AW47" i="30"/>
  <c r="U47" i="30"/>
  <c r="AK47" i="30"/>
  <c r="R47" i="30"/>
  <c r="AB47" i="30"/>
  <c r="AR47" i="30"/>
  <c r="AL47" i="30"/>
  <c r="AJ47" i="30" l="1"/>
  <c r="AB48" i="30"/>
  <c r="AS48" i="30"/>
  <c r="AY48" i="30"/>
  <c r="AG48" i="30"/>
  <c r="AE48" i="30"/>
  <c r="AN48" i="30"/>
  <c r="AW48" i="30"/>
  <c r="Z48" i="30"/>
  <c r="AP48" i="30"/>
  <c r="AX48" i="30"/>
  <c r="T48" i="30"/>
  <c r="AK48" i="30"/>
  <c r="V48" i="30"/>
  <c r="X48" i="30"/>
  <c r="AZ48" i="30"/>
  <c r="AU48" i="30"/>
  <c r="U48" i="30"/>
  <c r="AL48" i="30"/>
  <c r="AM48" i="30"/>
  <c r="AT48" i="30"/>
  <c r="AD48" i="30"/>
  <c r="AR48" i="30"/>
  <c r="AV48" i="30"/>
  <c r="S48" i="30"/>
  <c r="AA48" i="30"/>
  <c r="AO48" i="30"/>
  <c r="AC48" i="30"/>
  <c r="Y48" i="30"/>
  <c r="AF48" i="30"/>
  <c r="AQ48" i="30"/>
  <c r="W48" i="30"/>
  <c r="R48" i="30"/>
  <c r="AJ48" i="30" l="1"/>
  <c r="AC49" i="30"/>
  <c r="AL49" i="30"/>
  <c r="AQ49" i="30"/>
  <c r="AV49" i="30"/>
  <c r="S49" i="30"/>
  <c r="AS49" i="30"/>
  <c r="AN49" i="30"/>
  <c r="AU49" i="30"/>
  <c r="X49" i="30"/>
  <c r="AA49" i="30"/>
  <c r="Y49" i="30"/>
  <c r="AB49" i="30"/>
  <c r="U49" i="30"/>
  <c r="AY49" i="30"/>
  <c r="AZ49" i="30"/>
  <c r="AK49" i="30"/>
  <c r="AT49" i="30"/>
  <c r="AR49" i="30"/>
  <c r="AE49" i="30"/>
  <c r="W49" i="30"/>
  <c r="AM49" i="30"/>
  <c r="AW49" i="30"/>
  <c r="AP49" i="30"/>
  <c r="AX49" i="30"/>
  <c r="AF49" i="30"/>
  <c r="R49" i="30"/>
  <c r="AD49" i="30"/>
  <c r="Z49" i="30"/>
  <c r="AO49" i="30"/>
  <c r="T49" i="30"/>
  <c r="AG49" i="30"/>
  <c r="V49" i="30"/>
  <c r="AJ49" i="30" l="1"/>
  <c r="AE50" i="30"/>
  <c r="AU50" i="30"/>
  <c r="AL50" i="30"/>
  <c r="AC50" i="30"/>
  <c r="U50" i="30"/>
  <c r="AK50" i="30"/>
  <c r="AZ50" i="30"/>
  <c r="R50" i="30"/>
  <c r="AO50" i="30"/>
  <c r="AB50" i="30"/>
  <c r="T50" i="30"/>
  <c r="AS50" i="30"/>
  <c r="AQ50" i="30"/>
  <c r="AN50" i="30"/>
  <c r="W50" i="30"/>
  <c r="AX50" i="30"/>
  <c r="AA50" i="30"/>
  <c r="X50" i="30"/>
  <c r="Z50" i="30"/>
  <c r="AG50" i="30"/>
  <c r="AD50" i="30"/>
  <c r="Y50" i="30"/>
  <c r="S50" i="30"/>
  <c r="AY50" i="30"/>
  <c r="V50" i="30"/>
  <c r="AF50" i="30"/>
  <c r="AW50" i="30"/>
  <c r="AV50" i="30"/>
  <c r="AR50" i="30"/>
  <c r="AM50" i="30"/>
  <c r="AP50" i="30"/>
  <c r="AT50" i="30"/>
  <c r="AJ50" i="30" l="1"/>
  <c r="R51" i="30"/>
  <c r="V51" i="30"/>
  <c r="AA51" i="30"/>
  <c r="U51" i="30"/>
  <c r="AV51" i="30"/>
  <c r="AQ51" i="30"/>
  <c r="AN51" i="30"/>
  <c r="AY51" i="30"/>
  <c r="X51" i="30"/>
  <c r="S51" i="30"/>
  <c r="AT51" i="30"/>
  <c r="AU51" i="30"/>
  <c r="AX51" i="30"/>
  <c r="AZ51" i="30"/>
  <c r="AR51" i="30"/>
  <c r="T51" i="30"/>
  <c r="AM51" i="30"/>
  <c r="Y51" i="30"/>
  <c r="AB51" i="30"/>
  <c r="AO51" i="30"/>
  <c r="AS51" i="30"/>
  <c r="AE51" i="30"/>
  <c r="AC51" i="30"/>
  <c r="Z51" i="30"/>
  <c r="AD51" i="30"/>
  <c r="AP51" i="30"/>
  <c r="W51" i="30"/>
  <c r="AG51" i="30"/>
  <c r="AK51" i="30"/>
  <c r="AL51" i="30"/>
  <c r="AW51" i="30"/>
  <c r="AF51" i="30"/>
  <c r="AJ51" i="30" l="1"/>
  <c r="AQ52" i="30"/>
  <c r="AV52" i="30"/>
  <c r="AU52" i="30"/>
  <c r="AN52" i="30"/>
  <c r="AT52" i="30"/>
  <c r="AX52" i="30"/>
  <c r="AG52" i="30"/>
  <c r="AS52" i="30"/>
  <c r="V52" i="30"/>
  <c r="AR52" i="30"/>
  <c r="AK52" i="30"/>
  <c r="AD52" i="30"/>
  <c r="AF52" i="30"/>
  <c r="Y52" i="30"/>
  <c r="AL52" i="30"/>
  <c r="W52" i="30"/>
  <c r="Z52" i="30"/>
  <c r="U52" i="30"/>
  <c r="AZ52" i="30"/>
  <c r="AM52" i="30"/>
  <c r="AP52" i="30"/>
  <c r="AE52" i="30"/>
  <c r="AY52" i="30"/>
  <c r="AO52" i="30"/>
  <c r="R52" i="30"/>
  <c r="AB52" i="30"/>
  <c r="AA52" i="30"/>
  <c r="T52" i="30"/>
  <c r="X52" i="30"/>
  <c r="AC52" i="30"/>
  <c r="AW52" i="30"/>
  <c r="S52" i="30"/>
  <c r="AJ52" i="30" l="1"/>
  <c r="S53" i="30"/>
  <c r="AA53" i="30"/>
  <c r="AQ53" i="30"/>
  <c r="AX53" i="30"/>
  <c r="U53" i="30"/>
  <c r="AK53" i="30"/>
  <c r="AT53" i="30"/>
  <c r="X53" i="30"/>
  <c r="AE53" i="30"/>
  <c r="R53" i="30"/>
  <c r="W53" i="30"/>
  <c r="AY53" i="30"/>
  <c r="AO53" i="30"/>
  <c r="AN53" i="30"/>
  <c r="AZ53" i="30"/>
  <c r="V53" i="30"/>
  <c r="Y53" i="30"/>
  <c r="AF53" i="30"/>
  <c r="AR53" i="30"/>
  <c r="AM53" i="30"/>
  <c r="Z53" i="30"/>
  <c r="AU53" i="30"/>
  <c r="AS53" i="30"/>
  <c r="AD53" i="30"/>
  <c r="AP53" i="30"/>
  <c r="T53" i="30"/>
  <c r="AV53" i="30"/>
  <c r="AW53" i="30"/>
  <c r="AL53" i="30"/>
  <c r="AC53" i="30"/>
  <c r="AG53" i="30"/>
  <c r="AB53" i="30"/>
  <c r="AJ53" i="30" l="1"/>
  <c r="AZ54" i="30"/>
  <c r="AO54" i="30"/>
  <c r="AF54" i="30"/>
  <c r="AM54" i="30"/>
  <c r="AU54" i="30"/>
  <c r="AE54" i="30"/>
  <c r="W54" i="30"/>
  <c r="AG54" i="30"/>
  <c r="R54" i="30"/>
  <c r="AT54" i="30"/>
  <c r="AQ54" i="30"/>
  <c r="AY54" i="30"/>
  <c r="AR54" i="30"/>
  <c r="T54" i="30"/>
  <c r="AL54" i="30"/>
  <c r="AP54" i="30"/>
  <c r="AS54" i="30"/>
  <c r="AV54" i="30"/>
  <c r="AN54" i="30"/>
  <c r="V54" i="30"/>
  <c r="Y54" i="30"/>
  <c r="AK54" i="30"/>
  <c r="U54" i="30"/>
  <c r="AD54" i="30"/>
  <c r="Z54" i="30"/>
  <c r="AB54" i="30"/>
  <c r="AX54" i="30"/>
  <c r="AA54" i="30"/>
  <c r="X54" i="30"/>
  <c r="AW54" i="30"/>
  <c r="AC54" i="30"/>
  <c r="S54" i="30"/>
  <c r="AJ54" i="30" l="1"/>
  <c r="T55" i="30"/>
  <c r="AC55" i="30"/>
  <c r="AG55" i="30"/>
  <c r="AX55" i="30"/>
  <c r="AF55" i="30"/>
  <c r="AW55" i="30"/>
  <c r="AZ55" i="30"/>
  <c r="Z55" i="30"/>
  <c r="AD55" i="30"/>
  <c r="S55" i="30"/>
  <c r="R55" i="30"/>
  <c r="AM55" i="30"/>
  <c r="AA55" i="30"/>
  <c r="U55" i="30"/>
  <c r="X55" i="30"/>
  <c r="AT55" i="30"/>
  <c r="AN55" i="30"/>
  <c r="AV55" i="30"/>
  <c r="V55" i="30"/>
  <c r="AU55" i="30"/>
  <c r="AO55" i="30"/>
  <c r="AY55" i="30"/>
  <c r="AE55" i="30"/>
  <c r="AK55" i="30"/>
  <c r="AL55" i="30"/>
  <c r="W55" i="30"/>
  <c r="AB55" i="30"/>
  <c r="AS55" i="30"/>
  <c r="AR55" i="30"/>
  <c r="AQ55" i="30"/>
  <c r="AP55" i="30"/>
  <c r="Y55" i="30"/>
  <c r="AJ55" i="30" l="1"/>
  <c r="AF56" i="30"/>
  <c r="U56" i="30"/>
  <c r="AD56" i="30"/>
  <c r="AK56" i="30"/>
  <c r="AQ56" i="30"/>
  <c r="T56" i="30"/>
  <c r="AL56" i="30"/>
  <c r="AW56" i="30"/>
  <c r="S56" i="30"/>
  <c r="AU56" i="30"/>
  <c r="AZ56" i="30"/>
  <c r="V56" i="30"/>
  <c r="AO56" i="30"/>
  <c r="AV56" i="30"/>
  <c r="AX56" i="30"/>
  <c r="X56" i="30"/>
  <c r="AB56" i="30"/>
  <c r="Y56" i="30"/>
  <c r="AP56" i="30"/>
  <c r="AA56" i="30"/>
  <c r="AR56" i="30"/>
  <c r="AG56" i="30"/>
  <c r="R56" i="30"/>
  <c r="AE56" i="30"/>
  <c r="AC56" i="30"/>
  <c r="AT56" i="30"/>
  <c r="W56" i="30"/>
  <c r="AY56" i="30"/>
  <c r="AS56" i="30"/>
  <c r="AN56" i="30"/>
  <c r="Z56" i="30"/>
  <c r="AM56" i="30"/>
  <c r="AJ56" i="30" l="1"/>
  <c r="AW57" i="30"/>
  <c r="X57" i="30"/>
  <c r="AG57" i="30"/>
  <c r="AX57" i="30"/>
  <c r="AK57" i="30"/>
  <c r="AA57" i="30"/>
  <c r="AP57" i="30"/>
  <c r="AC57" i="30"/>
  <c r="AL57" i="30"/>
  <c r="V57" i="30"/>
  <c r="AD57" i="30"/>
  <c r="AF57" i="30"/>
  <c r="AO57" i="30"/>
  <c r="R57" i="30"/>
  <c r="T57" i="30"/>
  <c r="AN57" i="30"/>
  <c r="AZ57" i="30"/>
  <c r="AS57" i="30"/>
  <c r="Z57" i="30"/>
  <c r="AB57" i="30"/>
  <c r="W57" i="30"/>
  <c r="AM57" i="30"/>
  <c r="S57" i="30"/>
  <c r="AV57" i="30"/>
  <c r="AE57" i="30"/>
  <c r="AT57" i="30"/>
  <c r="AR57" i="30"/>
  <c r="AU57" i="30"/>
  <c r="AY57" i="30"/>
  <c r="Y57" i="30"/>
  <c r="AQ57" i="30"/>
  <c r="U57" i="30"/>
  <c r="AJ57" i="30" l="1"/>
  <c r="AK58" i="30"/>
  <c r="AR58" i="30"/>
  <c r="X58" i="30"/>
  <c r="T58" i="30"/>
  <c r="U58" i="30"/>
  <c r="AU58" i="30"/>
  <c r="AW58" i="30"/>
  <c r="AF58" i="30"/>
  <c r="W58" i="30"/>
  <c r="AO58" i="30"/>
  <c r="AE58" i="30"/>
  <c r="AD58" i="30"/>
  <c r="AG58" i="30"/>
  <c r="AP58" i="30"/>
  <c r="AB58" i="30"/>
  <c r="AM58" i="30"/>
  <c r="AC58" i="30"/>
  <c r="Y58" i="30"/>
  <c r="AN58" i="30"/>
  <c r="AY58" i="30"/>
  <c r="AV58" i="30"/>
  <c r="AQ58" i="30"/>
  <c r="R58" i="30"/>
  <c r="AL58" i="30"/>
  <c r="AX58" i="30"/>
  <c r="Z58" i="30"/>
  <c r="AZ58" i="30"/>
  <c r="AS58" i="30"/>
  <c r="AA58" i="30"/>
  <c r="S58" i="30"/>
  <c r="AT58" i="30"/>
  <c r="V58" i="30"/>
  <c r="AJ58" i="30" l="1"/>
  <c r="AG59" i="30"/>
  <c r="AO59" i="30"/>
  <c r="AA59" i="30"/>
  <c r="AZ59" i="30"/>
  <c r="AM59" i="30"/>
  <c r="R59" i="30"/>
  <c r="T59" i="30"/>
  <c r="X59" i="30"/>
  <c r="AD59" i="30"/>
  <c r="W59" i="30"/>
  <c r="AC59" i="30"/>
  <c r="AS59" i="30"/>
  <c r="U59" i="30"/>
  <c r="AL59" i="30"/>
  <c r="AU59" i="30"/>
  <c r="AP59" i="30"/>
  <c r="Z59" i="30"/>
  <c r="AW59" i="30"/>
  <c r="AV59" i="30"/>
  <c r="AK59" i="30"/>
  <c r="Y59" i="30"/>
  <c r="AE59" i="30"/>
  <c r="S59" i="30"/>
  <c r="AY59" i="30"/>
  <c r="AR59" i="30"/>
  <c r="AF59" i="30"/>
  <c r="AB59" i="30"/>
  <c r="V59" i="30"/>
  <c r="AN59" i="30"/>
  <c r="AX59" i="30"/>
  <c r="AQ59" i="30"/>
  <c r="AT59" i="30"/>
  <c r="AJ59" i="30" l="1"/>
  <c r="AG60" i="30"/>
  <c r="AT60" i="30"/>
  <c r="AK60" i="30"/>
  <c r="AE60" i="30"/>
  <c r="R60" i="30"/>
  <c r="T60" i="30"/>
  <c r="AZ60" i="30"/>
  <c r="AU60" i="30"/>
  <c r="AV60" i="30"/>
  <c r="AM60" i="30"/>
  <c r="AP60" i="30"/>
  <c r="AD60" i="30"/>
  <c r="AL60" i="30"/>
  <c r="AA60" i="30"/>
  <c r="AY60" i="30"/>
  <c r="AO60" i="30"/>
  <c r="AC60" i="30"/>
  <c r="W60" i="30"/>
  <c r="U60" i="30"/>
  <c r="X60" i="30"/>
  <c r="AN60" i="30"/>
  <c r="S60" i="30"/>
  <c r="AQ60" i="30"/>
  <c r="Y60" i="30"/>
  <c r="AX60" i="30"/>
  <c r="AB60" i="30"/>
  <c r="AS60" i="30"/>
  <c r="AR60" i="30"/>
  <c r="V60" i="30"/>
  <c r="Z60" i="30"/>
  <c r="AF60" i="30"/>
  <c r="AW60" i="30"/>
  <c r="AJ60" i="30" l="1"/>
  <c r="AE61" i="30"/>
  <c r="V61" i="30"/>
  <c r="AP61" i="30"/>
  <c r="AB61" i="30"/>
  <c r="Z61" i="30"/>
  <c r="AR61" i="30"/>
  <c r="AF61" i="30"/>
  <c r="S61" i="30"/>
  <c r="AS61" i="30"/>
  <c r="Y61" i="30"/>
  <c r="R61" i="30"/>
  <c r="AM61" i="30"/>
  <c r="AZ61" i="30"/>
  <c r="AA61" i="30"/>
  <c r="AD61" i="30"/>
  <c r="AO61" i="30"/>
  <c r="AL61" i="30"/>
  <c r="AQ61" i="30"/>
  <c r="T61" i="30"/>
  <c r="AV61" i="30"/>
  <c r="AK61" i="30"/>
  <c r="AU61" i="30"/>
  <c r="AN61" i="30"/>
  <c r="W61" i="30"/>
  <c r="AW61" i="30"/>
  <c r="AC61" i="30"/>
  <c r="AX61" i="30"/>
  <c r="AY61" i="30"/>
  <c r="AG61" i="30"/>
  <c r="U61" i="30"/>
  <c r="X61" i="30"/>
  <c r="AT61" i="30"/>
  <c r="AJ61" i="30" l="1"/>
  <c r="AN62" i="30"/>
  <c r="AO62" i="30"/>
  <c r="AW62" i="30"/>
  <c r="Y62" i="30"/>
  <c r="V62" i="30"/>
  <c r="AV62" i="30"/>
  <c r="AS62" i="30"/>
  <c r="AK62" i="30"/>
  <c r="U62" i="30"/>
  <c r="AG62" i="30"/>
  <c r="AB62" i="30"/>
  <c r="Z62" i="30"/>
  <c r="AX62" i="30"/>
  <c r="AZ62" i="30"/>
  <c r="AD62" i="30"/>
  <c r="AT62" i="30"/>
  <c r="X62" i="30"/>
  <c r="AM62" i="30"/>
  <c r="AQ62" i="30"/>
  <c r="W62" i="30"/>
  <c r="AC62" i="30"/>
  <c r="AR62" i="30"/>
  <c r="T62" i="30"/>
  <c r="AY62" i="30"/>
  <c r="AU62" i="30"/>
  <c r="AL62" i="30"/>
  <c r="R62" i="30"/>
  <c r="S62" i="30"/>
  <c r="AE62" i="30"/>
  <c r="AP62" i="30"/>
  <c r="AA62" i="30"/>
  <c r="AF62" i="30"/>
  <c r="AJ62" i="30" l="1"/>
  <c r="AX63" i="30"/>
  <c r="Y63" i="30"/>
  <c r="AF63" i="30"/>
  <c r="Z63" i="30"/>
  <c r="AC63" i="30"/>
  <c r="T63" i="30"/>
  <c r="W63" i="30"/>
  <c r="S63" i="30"/>
  <c r="AG63" i="30"/>
  <c r="AN63" i="30"/>
  <c r="AA63" i="30"/>
  <c r="AB63" i="30"/>
  <c r="AP63" i="30"/>
  <c r="AM63" i="30"/>
  <c r="AQ63" i="30"/>
  <c r="AR63" i="30"/>
  <c r="AV63" i="30"/>
  <c r="AO63" i="30"/>
  <c r="AK63" i="30"/>
  <c r="R63" i="30"/>
  <c r="V63" i="30"/>
  <c r="AY63" i="30"/>
  <c r="X63" i="30"/>
  <c r="AS63" i="30"/>
  <c r="AE63" i="30"/>
  <c r="U63" i="30"/>
  <c r="AD63" i="30"/>
  <c r="AL63" i="30"/>
  <c r="AT63" i="30"/>
  <c r="AZ63" i="30"/>
  <c r="AW63" i="30"/>
  <c r="AU63" i="30"/>
  <c r="AJ63" i="30" l="1"/>
  <c r="AP64" i="30"/>
  <c r="AM64" i="30"/>
  <c r="AY64" i="30"/>
  <c r="AW64" i="30"/>
  <c r="AO64" i="30"/>
  <c r="AR64" i="30"/>
  <c r="W64" i="30"/>
  <c r="X64" i="30"/>
  <c r="T64" i="30"/>
  <c r="AX64" i="30"/>
  <c r="AG64" i="30"/>
  <c r="AE64" i="30"/>
  <c r="AC64" i="30"/>
  <c r="R64" i="30"/>
  <c r="AS64" i="30"/>
  <c r="AK64" i="30"/>
  <c r="AQ64" i="30"/>
  <c r="S64" i="30"/>
  <c r="AF64" i="30"/>
  <c r="AN64" i="30"/>
  <c r="AZ64" i="30"/>
  <c r="V64" i="30"/>
  <c r="AB64" i="30"/>
  <c r="AD64" i="30"/>
  <c r="AA64" i="30"/>
  <c r="AT64" i="30"/>
  <c r="AV64" i="30"/>
  <c r="U64" i="30"/>
  <c r="Y64" i="30"/>
  <c r="Z64" i="30"/>
  <c r="AU64" i="30"/>
  <c r="AL64" i="30"/>
  <c r="AJ64" i="30" l="1"/>
  <c r="Y65" i="30"/>
  <c r="AV65" i="30"/>
  <c r="AB65" i="30"/>
  <c r="T65" i="30"/>
  <c r="AL65" i="30"/>
  <c r="X65" i="30"/>
  <c r="AC65" i="30"/>
  <c r="AN65" i="30"/>
  <c r="AF65" i="30"/>
  <c r="AE65" i="30"/>
  <c r="AS65" i="30"/>
  <c r="W65" i="30"/>
  <c r="AG65" i="30"/>
  <c r="R65" i="30"/>
  <c r="AZ65" i="30"/>
  <c r="AR65" i="30"/>
  <c r="AQ65" i="30"/>
  <c r="V65" i="30"/>
  <c r="AK65" i="30"/>
  <c r="S65" i="30"/>
  <c r="AO65" i="30"/>
  <c r="AP65" i="30"/>
  <c r="AT65" i="30"/>
  <c r="AX65" i="30"/>
  <c r="Z65" i="30"/>
  <c r="AY65" i="30"/>
  <c r="AW65" i="30"/>
  <c r="AD65" i="30"/>
  <c r="AU65" i="30"/>
  <c r="AA65" i="30"/>
  <c r="U65" i="30"/>
  <c r="AM65" i="30"/>
  <c r="AJ65" i="30" l="1"/>
  <c r="AL66" i="30"/>
  <c r="AT66" i="30"/>
  <c r="AW66" i="30"/>
  <c r="AS66" i="30"/>
  <c r="U66" i="30"/>
  <c r="W66" i="30"/>
  <c r="AY66" i="30"/>
  <c r="Z66" i="30"/>
  <c r="AR66" i="30"/>
  <c r="AE66" i="30"/>
  <c r="AD66" i="30"/>
  <c r="V66" i="30"/>
  <c r="AQ66" i="30"/>
  <c r="R66" i="30"/>
  <c r="Y66" i="30"/>
  <c r="AK66" i="30"/>
  <c r="AA66" i="30"/>
  <c r="AU66" i="30"/>
  <c r="AG66" i="30"/>
  <c r="AF66" i="30"/>
  <c r="AP66" i="30"/>
  <c r="S66" i="30"/>
  <c r="AO66" i="30"/>
  <c r="AC66" i="30"/>
  <c r="AV66" i="30"/>
  <c r="AZ66" i="30"/>
  <c r="AN66" i="30"/>
  <c r="X66" i="30"/>
  <c r="AX66" i="30"/>
  <c r="AM66" i="30"/>
  <c r="AB66" i="30"/>
  <c r="T66" i="30"/>
  <c r="AJ66" i="30" l="1"/>
  <c r="AO67" i="30"/>
  <c r="U67" i="30"/>
  <c r="AB67" i="30"/>
  <c r="AY67" i="30"/>
  <c r="AR67" i="30"/>
  <c r="AW67" i="30"/>
  <c r="AM67" i="30"/>
  <c r="AQ67" i="30"/>
  <c r="AU67" i="30"/>
  <c r="AN67" i="30"/>
  <c r="T67" i="30"/>
  <c r="AS67" i="30"/>
  <c r="AK67" i="30"/>
  <c r="AT67" i="30"/>
  <c r="AC67" i="30"/>
  <c r="AA67" i="30"/>
  <c r="AX67" i="30"/>
  <c r="AP67" i="30"/>
  <c r="S67" i="30"/>
  <c r="AG67" i="30"/>
  <c r="AD67" i="30"/>
  <c r="R67" i="30"/>
  <c r="AE67" i="30"/>
  <c r="W67" i="30"/>
  <c r="AL67" i="30"/>
  <c r="AF67" i="30"/>
  <c r="Z67" i="30"/>
  <c r="X67" i="30"/>
  <c r="V67" i="30"/>
  <c r="AZ67" i="30"/>
  <c r="AV67" i="30"/>
  <c r="Y67" i="30"/>
  <c r="AJ67" i="30" l="1"/>
  <c r="AT68" i="30"/>
  <c r="AF68" i="30"/>
  <c r="AM68" i="30"/>
  <c r="AK68" i="30"/>
  <c r="AE68" i="30"/>
  <c r="AD68" i="30"/>
  <c r="Y68" i="30"/>
  <c r="T68" i="30"/>
  <c r="X68" i="30"/>
  <c r="W68" i="30"/>
  <c r="AP68" i="30"/>
  <c r="AB68" i="30"/>
  <c r="AX68" i="30"/>
  <c r="AU68" i="30"/>
  <c r="AV68" i="30"/>
  <c r="AG68" i="30"/>
  <c r="AA68" i="30"/>
  <c r="AC68" i="30"/>
  <c r="S68" i="30"/>
  <c r="AL68" i="30"/>
  <c r="AS68" i="30"/>
  <c r="AO68" i="30"/>
  <c r="AN68" i="30"/>
  <c r="R68" i="30"/>
  <c r="AY68" i="30"/>
  <c r="AR68" i="30"/>
  <c r="AW68" i="30"/>
  <c r="AZ68" i="30"/>
  <c r="U68" i="30"/>
  <c r="V68" i="30"/>
  <c r="AQ68" i="30"/>
  <c r="Z68" i="30"/>
  <c r="AJ68" i="30" l="1"/>
  <c r="AC69" i="30"/>
  <c r="AY69" i="30"/>
  <c r="AG69" i="30"/>
  <c r="AA69" i="30"/>
  <c r="W69" i="30"/>
  <c r="AN69" i="30"/>
  <c r="S69" i="30"/>
  <c r="AO69" i="30"/>
  <c r="AW69" i="30"/>
  <c r="U69" i="30"/>
  <c r="AZ69" i="30"/>
  <c r="AV69" i="30"/>
  <c r="R69" i="30"/>
  <c r="AK69" i="30"/>
  <c r="AL69" i="30"/>
  <c r="AF69" i="30"/>
  <c r="Y69" i="30"/>
  <c r="AD69" i="30"/>
  <c r="AB69" i="30"/>
  <c r="AP69" i="30"/>
  <c r="X69" i="30"/>
  <c r="AQ69" i="30"/>
  <c r="AT69" i="30"/>
  <c r="AU69" i="30"/>
  <c r="AS69" i="30"/>
  <c r="AM69" i="30"/>
  <c r="V69" i="30"/>
  <c r="T69" i="30"/>
  <c r="AX69" i="30"/>
  <c r="Z69" i="30"/>
  <c r="AE69" i="30"/>
  <c r="AR69" i="30"/>
  <c r="AJ69" i="30" l="1"/>
  <c r="AV70" i="30"/>
  <c r="AF70" i="30"/>
  <c r="AP70" i="30"/>
  <c r="AE70" i="30"/>
  <c r="Y70" i="30"/>
  <c r="X70" i="30"/>
  <c r="AN70" i="30"/>
  <c r="S70" i="30"/>
  <c r="AO70" i="30"/>
  <c r="AQ70" i="30"/>
  <c r="AK70" i="30"/>
  <c r="AW70" i="30"/>
  <c r="AR70" i="30"/>
  <c r="AS70" i="30"/>
  <c r="AL70" i="30"/>
  <c r="AY70" i="30"/>
  <c r="AX70" i="30"/>
  <c r="R70" i="30"/>
  <c r="AD70" i="30"/>
  <c r="AZ70" i="30"/>
  <c r="W70" i="30"/>
  <c r="AM70" i="30"/>
  <c r="AU70" i="30"/>
  <c r="AC70" i="30"/>
  <c r="AG70" i="30"/>
  <c r="Z70" i="30"/>
  <c r="U70" i="30"/>
  <c r="V70" i="30"/>
  <c r="T70" i="30"/>
  <c r="AT70" i="30"/>
  <c r="AA70" i="30"/>
  <c r="AB70" i="30"/>
  <c r="AJ70" i="30" l="1"/>
  <c r="AS71" i="30"/>
  <c r="AF71" i="30"/>
  <c r="AD71" i="30"/>
  <c r="AA71" i="30"/>
  <c r="AP71" i="30"/>
  <c r="AX71" i="30"/>
  <c r="AT71" i="30"/>
  <c r="AE71" i="30"/>
  <c r="AO71" i="30"/>
  <c r="X71" i="30"/>
  <c r="Z71" i="30"/>
  <c r="R71" i="30"/>
  <c r="AL71" i="30"/>
  <c r="AW71" i="30"/>
  <c r="AU71" i="30"/>
  <c r="AY71" i="30"/>
  <c r="Y71" i="30"/>
  <c r="AC71" i="30"/>
  <c r="AN71" i="30"/>
  <c r="AG71" i="30"/>
  <c r="AQ71" i="30"/>
  <c r="U71" i="30"/>
  <c r="V71" i="30"/>
  <c r="AZ71" i="30"/>
  <c r="AK71" i="30"/>
  <c r="W71" i="30"/>
  <c r="AM71" i="30"/>
  <c r="AR71" i="30"/>
  <c r="T71" i="30"/>
  <c r="AV71" i="30"/>
  <c r="AB71" i="30"/>
  <c r="S71" i="30"/>
  <c r="AJ71" i="30" l="1"/>
  <c r="AS72" i="30"/>
  <c r="AK72" i="30"/>
  <c r="AY72" i="30"/>
  <c r="Z72" i="30"/>
  <c r="AL72" i="30"/>
  <c r="X72" i="30"/>
  <c r="AD72" i="30"/>
  <c r="U72" i="30"/>
  <c r="V72" i="30"/>
  <c r="AT72" i="30"/>
  <c r="AG72" i="30"/>
  <c r="AU72" i="30"/>
  <c r="AZ72" i="30"/>
  <c r="AA72" i="30"/>
  <c r="AP72" i="30"/>
  <c r="AC72" i="30"/>
  <c r="AF72" i="30"/>
  <c r="AN72" i="30"/>
  <c r="S72" i="30"/>
  <c r="AB72" i="30"/>
  <c r="AW72" i="30"/>
  <c r="AO72" i="30"/>
  <c r="W72" i="30"/>
  <c r="R72" i="30"/>
  <c r="Y72" i="30"/>
  <c r="AV72" i="30"/>
  <c r="AM72" i="30"/>
  <c r="AX72" i="30"/>
  <c r="AQ72" i="30"/>
  <c r="AE72" i="30"/>
  <c r="AR72" i="30"/>
  <c r="T72" i="30"/>
  <c r="AJ72" i="30" l="1"/>
  <c r="AT73" i="30"/>
  <c r="AQ73" i="30"/>
  <c r="AB73" i="30"/>
  <c r="AO73" i="30"/>
  <c r="AS73" i="30"/>
  <c r="AE73" i="30"/>
  <c r="AA73" i="30"/>
  <c r="X73" i="30"/>
  <c r="AD73" i="30"/>
  <c r="AG73" i="30"/>
  <c r="T73" i="30"/>
  <c r="S73" i="30"/>
  <c r="AF73" i="30"/>
  <c r="AU73" i="30"/>
  <c r="AZ73" i="30"/>
  <c r="AM73" i="30"/>
  <c r="AW73" i="30"/>
  <c r="V73" i="30"/>
  <c r="AN73" i="30"/>
  <c r="U73" i="30"/>
  <c r="AC73" i="30"/>
  <c r="AY73" i="30"/>
  <c r="AR73" i="30"/>
  <c r="R73" i="30"/>
  <c r="AK73" i="30"/>
  <c r="AL73" i="30"/>
  <c r="AP73" i="30"/>
  <c r="W73" i="30"/>
  <c r="AV73" i="30"/>
  <c r="Z73" i="30"/>
  <c r="Y73" i="30"/>
  <c r="AX73" i="30"/>
  <c r="AJ73" i="30" l="1"/>
  <c r="AP74" i="30"/>
  <c r="AU74" i="30"/>
  <c r="R74" i="30"/>
  <c r="AA74" i="30"/>
  <c r="AQ74" i="30"/>
  <c r="AF74" i="30"/>
  <c r="AT74" i="30"/>
  <c r="AW74" i="30"/>
  <c r="AM74" i="30"/>
  <c r="T74" i="30"/>
  <c r="V74" i="30"/>
  <c r="Z74" i="30"/>
  <c r="Y74" i="30"/>
  <c r="AE74" i="30"/>
  <c r="AG74" i="30"/>
  <c r="U74" i="30"/>
  <c r="AK74" i="30"/>
  <c r="AS74" i="30"/>
  <c r="AD74" i="30"/>
  <c r="AZ74" i="30"/>
  <c r="S74" i="30"/>
  <c r="AV74" i="30"/>
  <c r="AY74" i="30"/>
  <c r="X74" i="30"/>
  <c r="AC74" i="30"/>
  <c r="AB74" i="30"/>
  <c r="AX74" i="30"/>
  <c r="AL74" i="30"/>
  <c r="W74" i="30"/>
  <c r="AR74" i="30"/>
  <c r="AO74" i="30"/>
  <c r="AN74" i="30"/>
  <c r="AJ74" i="30" l="1"/>
  <c r="AM75" i="30"/>
  <c r="V75" i="30"/>
  <c r="AG75" i="30"/>
  <c r="Y75" i="30"/>
  <c r="AB75" i="30"/>
  <c r="AD75" i="30"/>
  <c r="Z75" i="30"/>
  <c r="T75" i="30"/>
  <c r="S75" i="30"/>
  <c r="X75" i="30"/>
  <c r="AE75" i="30"/>
  <c r="AA75" i="30"/>
  <c r="AQ75" i="30"/>
  <c r="AZ75" i="30"/>
  <c r="AP75" i="30"/>
  <c r="AC75" i="30"/>
  <c r="AT75" i="30"/>
  <c r="AO75" i="30"/>
  <c r="AK75" i="30"/>
  <c r="W75" i="30"/>
  <c r="AU75" i="30"/>
  <c r="AW75" i="30"/>
  <c r="AS75" i="30"/>
  <c r="U75" i="30"/>
  <c r="R75" i="30"/>
  <c r="AV75" i="30"/>
  <c r="AR75" i="30"/>
  <c r="AF75" i="30"/>
  <c r="AY75" i="30"/>
  <c r="AL75" i="30"/>
  <c r="AN75" i="30"/>
  <c r="AX75" i="30"/>
  <c r="AJ75" i="30" l="1"/>
  <c r="AN76" i="30"/>
  <c r="AX76" i="30"/>
  <c r="T76" i="30"/>
  <c r="AD76" i="30"/>
  <c r="AW76" i="30"/>
  <c r="Z76" i="30"/>
  <c r="AC76" i="30"/>
  <c r="AM76" i="30"/>
  <c r="R76" i="30"/>
  <c r="AP76" i="30"/>
  <c r="AT76" i="30"/>
  <c r="AQ76" i="30"/>
  <c r="AZ76" i="30"/>
  <c r="AU76" i="30"/>
  <c r="AR76" i="30"/>
  <c r="AE76" i="30"/>
  <c r="V76" i="30"/>
  <c r="AB76" i="30"/>
  <c r="AV76" i="30"/>
  <c r="AY76" i="30"/>
  <c r="Y76" i="30"/>
  <c r="AO76" i="30"/>
  <c r="AK76" i="30"/>
  <c r="U76" i="30"/>
  <c r="W76" i="30"/>
  <c r="X76" i="30"/>
  <c r="AF76" i="30"/>
  <c r="S76" i="30"/>
  <c r="AA76" i="30"/>
  <c r="AL76" i="30"/>
  <c r="AS76" i="30"/>
  <c r="AG76" i="30"/>
  <c r="AJ76" i="30" l="1"/>
  <c r="AE77" i="30"/>
  <c r="AZ77" i="30"/>
  <c r="AC77" i="30"/>
  <c r="AT77" i="30"/>
  <c r="Y77" i="30"/>
  <c r="X77" i="30"/>
  <c r="AA77" i="30"/>
  <c r="Z77" i="30"/>
  <c r="S77" i="30"/>
  <c r="AS77" i="30"/>
  <c r="AF77" i="30"/>
  <c r="AK77" i="30"/>
  <c r="AD77" i="30"/>
  <c r="W77" i="30"/>
  <c r="AX77" i="30"/>
  <c r="AP77" i="30"/>
  <c r="U77" i="30"/>
  <c r="AW77" i="30"/>
  <c r="AM77" i="30"/>
  <c r="AV77" i="30"/>
  <c r="AY77" i="30"/>
  <c r="R77" i="30"/>
  <c r="AU77" i="30"/>
  <c r="AO77" i="30"/>
  <c r="AN77" i="30"/>
  <c r="AB77" i="30"/>
  <c r="V77" i="30"/>
  <c r="T77" i="30"/>
  <c r="AQ77" i="30"/>
  <c r="AG77" i="30"/>
  <c r="AR77" i="30"/>
  <c r="AL77" i="30"/>
  <c r="AJ77" i="30" l="1"/>
  <c r="S78" i="30"/>
  <c r="AN78" i="30"/>
  <c r="W78" i="30"/>
  <c r="V78" i="30"/>
  <c r="U78" i="30"/>
  <c r="AU78" i="30"/>
  <c r="AG78" i="30"/>
  <c r="AS78" i="30"/>
  <c r="AL78" i="30"/>
  <c r="AX78" i="30"/>
  <c r="AO78" i="30"/>
  <c r="AY78" i="30"/>
  <c r="AK78" i="30"/>
  <c r="AB78" i="30"/>
  <c r="Z78" i="30"/>
  <c r="Y78" i="30"/>
  <c r="AM78" i="30"/>
  <c r="X78" i="30"/>
  <c r="T78" i="30"/>
  <c r="AQ78" i="30"/>
  <c r="R78" i="30"/>
  <c r="AP78" i="30"/>
  <c r="AW78" i="30"/>
  <c r="AZ78" i="30"/>
  <c r="AE78" i="30"/>
  <c r="AV78" i="30"/>
  <c r="AA78" i="30"/>
  <c r="AR78" i="30"/>
  <c r="AT78" i="30"/>
  <c r="AD78" i="30"/>
  <c r="AF78" i="30"/>
  <c r="AC78" i="30"/>
  <c r="AJ78" i="30" l="1"/>
  <c r="S79" i="30"/>
  <c r="AE79" i="30"/>
  <c r="AL79" i="30"/>
  <c r="AU79" i="30"/>
  <c r="AM79" i="30"/>
  <c r="Y79" i="30"/>
  <c r="T79" i="30"/>
  <c r="U79" i="30"/>
  <c r="AA79" i="30"/>
  <c r="AN79" i="30"/>
  <c r="AQ79" i="30"/>
  <c r="X79" i="30"/>
  <c r="AR79" i="30"/>
  <c r="AO79" i="30"/>
  <c r="AZ79" i="30"/>
  <c r="AS79" i="30"/>
  <c r="AD79" i="30"/>
  <c r="AP79" i="30"/>
  <c r="Z79" i="30"/>
  <c r="AT79" i="30"/>
  <c r="AW79" i="30"/>
  <c r="AY79" i="30"/>
  <c r="AG79" i="30"/>
  <c r="V79" i="30"/>
  <c r="R79" i="30"/>
  <c r="AX79" i="30"/>
  <c r="AB79" i="30"/>
  <c r="AC79" i="30"/>
  <c r="AV79" i="30"/>
  <c r="AK79" i="30"/>
  <c r="AF79" i="30"/>
  <c r="W79" i="30"/>
  <c r="AJ79" i="30" l="1"/>
  <c r="AU80" i="30"/>
  <c r="AQ80" i="30"/>
  <c r="AV80" i="30"/>
  <c r="AX80" i="30"/>
  <c r="AP80" i="30"/>
  <c r="S80" i="30"/>
  <c r="U80" i="30"/>
  <c r="AN80" i="30"/>
  <c r="R80" i="30"/>
  <c r="AZ80" i="30"/>
  <c r="AM80" i="30"/>
  <c r="AE80" i="30"/>
  <c r="AG80" i="30"/>
  <c r="AR80" i="30"/>
  <c r="V80" i="30"/>
  <c r="AL80" i="30"/>
  <c r="AK80" i="30"/>
  <c r="Z80" i="30"/>
  <c r="AY80" i="30"/>
  <c r="AB80" i="30"/>
  <c r="AC80" i="30"/>
  <c r="AD80" i="30"/>
  <c r="AF80" i="30"/>
  <c r="AA80" i="30"/>
  <c r="AO80" i="30"/>
  <c r="T80" i="30"/>
  <c r="AT80" i="30"/>
  <c r="Y80" i="30"/>
  <c r="W80" i="30"/>
  <c r="X80" i="30"/>
  <c r="AS80" i="30"/>
  <c r="AW80" i="30"/>
  <c r="AJ80" i="30" l="1"/>
  <c r="R81" i="30"/>
  <c r="AE81" i="30"/>
  <c r="AB81" i="30"/>
  <c r="AM81" i="30"/>
  <c r="AP81" i="30"/>
  <c r="U81" i="30"/>
  <c r="X81" i="30"/>
  <c r="W81" i="30"/>
  <c r="AX81" i="30"/>
  <c r="AZ81" i="30"/>
  <c r="AV81" i="30"/>
  <c r="AC81" i="30"/>
  <c r="AU81" i="30"/>
  <c r="AQ81" i="30"/>
  <c r="AA81" i="30"/>
  <c r="AN81" i="30"/>
  <c r="V81" i="30"/>
  <c r="AT81" i="30"/>
  <c r="T81" i="30"/>
  <c r="Y81" i="30"/>
  <c r="Z81" i="30"/>
  <c r="S81" i="30"/>
  <c r="AG81" i="30"/>
  <c r="AO81" i="30"/>
  <c r="AS81" i="30"/>
  <c r="AF81" i="30"/>
  <c r="AL81" i="30"/>
  <c r="AK81" i="30"/>
  <c r="AR81" i="30"/>
  <c r="AD81" i="30"/>
  <c r="AW81" i="30"/>
  <c r="AY81" i="30"/>
  <c r="AJ81" i="30" l="1"/>
  <c r="AM82" i="30"/>
  <c r="AC82" i="30"/>
  <c r="R82" i="30"/>
  <c r="AD82" i="30"/>
  <c r="AA82" i="30"/>
  <c r="V82" i="30"/>
  <c r="W82" i="30"/>
  <c r="AT82" i="30"/>
  <c r="AE82" i="30"/>
  <c r="AV82" i="30"/>
  <c r="AY82" i="30"/>
  <c r="U82" i="30"/>
  <c r="AS82" i="30"/>
  <c r="AG82" i="30"/>
  <c r="Y82" i="30"/>
  <c r="AN82" i="30"/>
  <c r="AF82" i="30"/>
  <c r="Z82" i="30"/>
  <c r="S82" i="30"/>
  <c r="AL82" i="30"/>
  <c r="AZ82" i="30"/>
  <c r="AP82" i="30"/>
  <c r="AU82" i="30"/>
  <c r="X82" i="30"/>
  <c r="AW82" i="30"/>
  <c r="AR82" i="30"/>
  <c r="AK82" i="30"/>
  <c r="AQ82" i="30"/>
  <c r="AB82" i="30"/>
  <c r="T82" i="30"/>
  <c r="AO82" i="30"/>
  <c r="AX82" i="30"/>
  <c r="AJ82" i="30" l="1"/>
  <c r="S83" i="30"/>
  <c r="R83" i="30"/>
  <c r="AL83" i="30"/>
  <c r="AD83" i="30"/>
  <c r="AR83" i="30"/>
  <c r="AV83" i="30"/>
  <c r="Y83" i="30"/>
  <c r="V83" i="30"/>
  <c r="AG83" i="30"/>
  <c r="AU83" i="30"/>
  <c r="AO83" i="30"/>
  <c r="AP83" i="30"/>
  <c r="T83" i="30"/>
  <c r="AW83" i="30"/>
  <c r="AZ83" i="30"/>
  <c r="AA83" i="30"/>
  <c r="AM83" i="30"/>
  <c r="AT83" i="30"/>
  <c r="AQ83" i="30"/>
  <c r="AE83" i="30"/>
  <c r="AF83" i="30"/>
  <c r="AY83" i="30"/>
  <c r="X83" i="30"/>
  <c r="U83" i="30"/>
  <c r="AC83" i="30"/>
  <c r="AN83" i="30"/>
  <c r="AB83" i="30"/>
  <c r="AS83" i="30"/>
  <c r="Z83" i="30"/>
  <c r="AX83" i="30"/>
  <c r="AK83" i="30"/>
  <c r="W83" i="30"/>
  <c r="AJ83" i="30" l="1"/>
  <c r="AV84" i="30"/>
  <c r="R84" i="30"/>
  <c r="AG84" i="30"/>
  <c r="AB84" i="30"/>
  <c r="AL84" i="30"/>
  <c r="AZ84" i="30"/>
  <c r="AX84" i="30"/>
  <c r="AU84" i="30"/>
  <c r="AM84" i="30"/>
  <c r="S84" i="30"/>
  <c r="Z84" i="30"/>
  <c r="AT84" i="30"/>
  <c r="W84" i="30"/>
  <c r="AC84" i="30"/>
  <c r="AQ84" i="30"/>
  <c r="AF84" i="30"/>
  <c r="AS84" i="30"/>
  <c r="AY84" i="30"/>
  <c r="V84" i="30"/>
  <c r="AR84" i="30"/>
  <c r="AK84" i="30"/>
  <c r="U84" i="30"/>
  <c r="AD84" i="30"/>
  <c r="X84" i="30"/>
  <c r="T84" i="30"/>
  <c r="AE84" i="30"/>
  <c r="AA84" i="30"/>
  <c r="AW84" i="30"/>
  <c r="AN84" i="30"/>
  <c r="AP84" i="30"/>
  <c r="Y84" i="30"/>
  <c r="AO84" i="30"/>
  <c r="AJ84" i="30" l="1"/>
  <c r="AY85" i="30"/>
  <c r="T85" i="30"/>
  <c r="AZ85" i="30"/>
  <c r="V85" i="30"/>
  <c r="AP85" i="30"/>
  <c r="X85" i="30"/>
  <c r="AK85" i="30"/>
  <c r="AW85" i="30"/>
  <c r="AE85" i="30"/>
  <c r="AG85" i="30"/>
  <c r="AB85" i="30"/>
  <c r="AA85" i="30"/>
  <c r="Y85" i="30"/>
  <c r="AV85" i="30"/>
  <c r="AT85" i="30"/>
  <c r="R85" i="30"/>
  <c r="AS85" i="30"/>
  <c r="S85" i="30"/>
  <c r="AN85" i="30"/>
  <c r="AX85" i="30"/>
  <c r="AM85" i="30"/>
  <c r="W85" i="30"/>
  <c r="Z85" i="30"/>
  <c r="AO85" i="30"/>
  <c r="AU85" i="30"/>
  <c r="AF85" i="30"/>
  <c r="U85" i="30"/>
  <c r="AR85" i="30"/>
  <c r="AC85" i="30"/>
  <c r="AQ85" i="30"/>
  <c r="AD85" i="30"/>
  <c r="AL85" i="30"/>
  <c r="AJ85" i="30" l="1"/>
  <c r="AB86" i="30"/>
  <c r="AT86" i="30"/>
  <c r="S86" i="30"/>
  <c r="AG86" i="30"/>
  <c r="AA86" i="30"/>
  <c r="V86" i="30"/>
  <c r="AR86" i="30"/>
  <c r="AP86" i="30"/>
  <c r="AU86" i="30"/>
  <c r="R86" i="30"/>
  <c r="Z86" i="30"/>
  <c r="AW86" i="30"/>
  <c r="T86" i="30"/>
  <c r="Y86" i="30"/>
  <c r="AO86" i="30"/>
  <c r="U86" i="30"/>
  <c r="AK86" i="30"/>
  <c r="AL86" i="30"/>
  <c r="AD86" i="30"/>
  <c r="AQ86" i="30"/>
  <c r="AM86" i="30"/>
  <c r="AZ86" i="30"/>
  <c r="AC86" i="30"/>
  <c r="AF86" i="30"/>
  <c r="AS86" i="30"/>
  <c r="AE86" i="30"/>
  <c r="AN86" i="30"/>
  <c r="W86" i="30"/>
  <c r="AY86" i="30"/>
  <c r="AX86" i="30"/>
  <c r="X86" i="30"/>
  <c r="AV86" i="30"/>
  <c r="AJ86" i="30" l="1"/>
  <c r="AO87" i="30"/>
  <c r="Z87" i="30"/>
  <c r="Y87" i="30"/>
  <c r="AW87" i="30"/>
  <c r="AG87" i="30"/>
  <c r="AM87" i="30"/>
  <c r="AX87" i="30"/>
  <c r="V87" i="30"/>
  <c r="AB87" i="30"/>
  <c r="AP87" i="30"/>
  <c r="AZ87" i="30"/>
  <c r="W87" i="30"/>
  <c r="AR87" i="30"/>
  <c r="T87" i="30"/>
  <c r="U87" i="30"/>
  <c r="AF87" i="30"/>
  <c r="AT87" i="30"/>
  <c r="AS87" i="30"/>
  <c r="R87" i="30"/>
  <c r="AC87" i="30"/>
  <c r="AD87" i="30"/>
  <c r="AQ87" i="30"/>
  <c r="AU87" i="30"/>
  <c r="AN87" i="30"/>
  <c r="AL87" i="30"/>
  <c r="AY87" i="30"/>
  <c r="AK87" i="30"/>
  <c r="X87" i="30"/>
  <c r="AA87" i="30"/>
  <c r="AV87" i="30"/>
  <c r="AE87" i="30"/>
  <c r="S87" i="30"/>
  <c r="AJ87" i="30" l="1"/>
  <c r="AS88" i="30"/>
  <c r="AN88" i="30"/>
  <c r="R88" i="30"/>
  <c r="S88" i="30"/>
  <c r="AQ88" i="30"/>
  <c r="AV88" i="30"/>
  <c r="AO88" i="30"/>
  <c r="AL88" i="30"/>
  <c r="AT88" i="30"/>
  <c r="W88" i="30"/>
  <c r="AW88" i="30"/>
  <c r="T88" i="30"/>
  <c r="X88" i="30"/>
  <c r="AZ88" i="30"/>
  <c r="AA88" i="30"/>
  <c r="V88" i="30"/>
  <c r="AX88" i="30"/>
  <c r="AG88" i="30"/>
  <c r="AF88" i="30"/>
  <c r="Z88" i="30"/>
  <c r="AR88" i="30"/>
  <c r="AD88" i="30"/>
  <c r="AB88" i="30"/>
  <c r="AU88" i="30"/>
  <c r="Y88" i="30"/>
  <c r="U88" i="30"/>
  <c r="AP88" i="30"/>
  <c r="AC88" i="30"/>
  <c r="AM88" i="30"/>
  <c r="AE88" i="30"/>
  <c r="AK88" i="30"/>
  <c r="AY88" i="30"/>
  <c r="AJ88" i="30" l="1"/>
  <c r="S89" i="30"/>
  <c r="V89" i="30"/>
  <c r="AT89" i="30"/>
  <c r="AR89" i="30"/>
  <c r="AS89" i="30"/>
  <c r="AA89" i="30"/>
  <c r="R89" i="30"/>
  <c r="AC89" i="30"/>
  <c r="AE89" i="30"/>
  <c r="AY89" i="30"/>
  <c r="AK89" i="30"/>
  <c r="AB89" i="30"/>
  <c r="AZ89" i="30"/>
  <c r="AN89" i="30"/>
  <c r="AX89" i="30"/>
  <c r="T89" i="30"/>
  <c r="X89" i="30"/>
  <c r="AD89" i="30"/>
  <c r="AM89" i="30"/>
  <c r="AW89" i="30"/>
  <c r="AV89" i="30"/>
  <c r="AO89" i="30"/>
  <c r="AU89" i="30"/>
  <c r="W89" i="30"/>
  <c r="AP89" i="30"/>
  <c r="Z89" i="30"/>
  <c r="AQ89" i="30"/>
  <c r="AG89" i="30"/>
  <c r="U89" i="30"/>
  <c r="AL89" i="30"/>
  <c r="Y89" i="30"/>
  <c r="AF89" i="30"/>
  <c r="AJ89" i="30" l="1"/>
  <c r="X90" i="30"/>
  <c r="Y90" i="30"/>
  <c r="AS90" i="30"/>
  <c r="AP90" i="30"/>
  <c r="AU90" i="30"/>
  <c r="AF90" i="30"/>
  <c r="AK90" i="30"/>
  <c r="T90" i="30"/>
  <c r="Z90" i="30"/>
  <c r="AT90" i="30"/>
  <c r="W90" i="30"/>
  <c r="AW90" i="30"/>
  <c r="AN90" i="30"/>
  <c r="AQ90" i="30"/>
  <c r="U90" i="30"/>
  <c r="AL90" i="30"/>
  <c r="AD90" i="30"/>
  <c r="R90" i="30"/>
  <c r="AB90" i="30"/>
  <c r="AR90" i="30"/>
  <c r="AY90" i="30"/>
  <c r="AC90" i="30"/>
  <c r="S90" i="30"/>
  <c r="AM90" i="30"/>
  <c r="V90" i="30"/>
  <c r="AX90" i="30"/>
  <c r="AV90" i="30"/>
  <c r="AZ90" i="30"/>
  <c r="AG90" i="30"/>
  <c r="AO90" i="30"/>
  <c r="AA90" i="30"/>
  <c r="AE90" i="30"/>
  <c r="AJ90" i="30" l="1"/>
  <c r="X91" i="30"/>
  <c r="AA91" i="30"/>
  <c r="S91" i="30"/>
  <c r="T91" i="30"/>
  <c r="AV91" i="30"/>
  <c r="W91" i="30"/>
  <c r="Y91" i="30"/>
  <c r="AT91" i="30"/>
  <c r="AC91" i="30"/>
  <c r="AF91" i="30"/>
  <c r="AE91" i="30"/>
  <c r="AZ91" i="30"/>
  <c r="AP91" i="30"/>
  <c r="AN91" i="30"/>
  <c r="AS91" i="30"/>
  <c r="Z91" i="30"/>
  <c r="AD91" i="30"/>
  <c r="U91" i="30"/>
  <c r="AL91" i="30"/>
  <c r="AW91" i="30"/>
  <c r="AG91" i="30"/>
  <c r="V91" i="30"/>
  <c r="AR91" i="30"/>
  <c r="AB91" i="30"/>
  <c r="AU91" i="30"/>
  <c r="AK91" i="30"/>
  <c r="AQ91" i="30"/>
  <c r="AY91" i="30"/>
  <c r="AX91" i="30"/>
  <c r="R91" i="30"/>
  <c r="AO91" i="30"/>
  <c r="AM91" i="30"/>
  <c r="AJ91" i="30" l="1"/>
  <c r="T92" i="30"/>
  <c r="AD92" i="30"/>
  <c r="X92" i="30"/>
  <c r="AV92" i="30"/>
  <c r="AU92" i="30"/>
  <c r="Y92" i="30"/>
  <c r="AF92" i="30"/>
  <c r="W92" i="30"/>
  <c r="AQ92" i="30"/>
  <c r="AZ92" i="30"/>
  <c r="S92" i="30"/>
  <c r="AN92" i="30"/>
  <c r="AB92" i="30"/>
  <c r="AL92" i="30"/>
  <c r="AS92" i="30"/>
  <c r="AY92" i="30"/>
  <c r="AG92" i="30"/>
  <c r="AR92" i="30"/>
  <c r="AK92" i="30"/>
  <c r="R92" i="30"/>
  <c r="AA92" i="30"/>
  <c r="AX92" i="30"/>
  <c r="AE92" i="30"/>
  <c r="AP92" i="30"/>
  <c r="AO92" i="30"/>
  <c r="AT92" i="30"/>
  <c r="V92" i="30"/>
  <c r="AC92" i="30"/>
  <c r="AM92" i="30"/>
  <c r="U92" i="30"/>
  <c r="Z92" i="30"/>
  <c r="AW92" i="30"/>
  <c r="AJ92" i="30" l="1"/>
  <c r="Y93" i="30"/>
  <c r="W93" i="30"/>
  <c r="AF93" i="30"/>
  <c r="AG93" i="30"/>
  <c r="AQ93" i="30"/>
  <c r="S93" i="30"/>
  <c r="AN93" i="30"/>
  <c r="AM93" i="30"/>
  <c r="AS93" i="30"/>
  <c r="AC93" i="30"/>
  <c r="AD93" i="30"/>
  <c r="Z93" i="30"/>
  <c r="AK93" i="30"/>
  <c r="U93" i="30"/>
  <c r="T93" i="30"/>
  <c r="AW93" i="30"/>
  <c r="AE93" i="30"/>
  <c r="AY93" i="30"/>
  <c r="AT93" i="30"/>
  <c r="R93" i="30"/>
  <c r="AV93" i="30"/>
  <c r="AL93" i="30"/>
  <c r="AB93" i="30"/>
  <c r="AU93" i="30"/>
  <c r="AP93" i="30"/>
  <c r="X93" i="30"/>
  <c r="V93" i="30"/>
  <c r="AA93" i="30"/>
  <c r="AX93" i="30"/>
  <c r="AR93" i="30"/>
  <c r="AZ93" i="30"/>
  <c r="AO93" i="30"/>
  <c r="AJ93" i="30" l="1"/>
  <c r="V94" i="30"/>
  <c r="AN94" i="30"/>
  <c r="AS94" i="30"/>
  <c r="AP94" i="30"/>
  <c r="AM94" i="30"/>
  <c r="AZ94" i="30"/>
  <c r="AU94" i="30"/>
  <c r="AE94" i="30"/>
  <c r="Z94" i="30"/>
  <c r="Y94" i="30"/>
  <c r="U94" i="30"/>
  <c r="AY94" i="30"/>
  <c r="AX94" i="30"/>
  <c r="AV94" i="30"/>
  <c r="AD94" i="30"/>
  <c r="S94" i="30"/>
  <c r="R94" i="30"/>
  <c r="AO94" i="30"/>
  <c r="AF94" i="30"/>
  <c r="AG94" i="30"/>
  <c r="W94" i="30"/>
  <c r="AL94" i="30"/>
  <c r="X94" i="30"/>
  <c r="AR94" i="30"/>
  <c r="AT94" i="30"/>
  <c r="AA94" i="30"/>
  <c r="T94" i="30"/>
  <c r="AC94" i="30"/>
  <c r="AQ94" i="30"/>
  <c r="AB94" i="30"/>
  <c r="AW94" i="30"/>
  <c r="AK94" i="30"/>
  <c r="AJ94" i="30" l="1"/>
  <c r="AN95" i="30"/>
  <c r="AP95" i="30"/>
  <c r="AF95" i="30"/>
  <c r="AG95" i="30"/>
  <c r="T95" i="30"/>
  <c r="V95" i="30"/>
  <c r="AS95" i="30"/>
  <c r="AQ95" i="30"/>
  <c r="AA95" i="30"/>
  <c r="AC95" i="30"/>
  <c r="AO95" i="30"/>
  <c r="AX95" i="30"/>
  <c r="AY95" i="30"/>
  <c r="AU95" i="30"/>
  <c r="AM95" i="30"/>
  <c r="X95" i="30"/>
  <c r="S95" i="30"/>
  <c r="AV95" i="30"/>
  <c r="U95" i="30"/>
  <c r="AT95" i="30"/>
  <c r="AZ95" i="30"/>
  <c r="AB95" i="30"/>
  <c r="AE95" i="30"/>
  <c r="Y95" i="30"/>
  <c r="AL95" i="30"/>
  <c r="AW95" i="30"/>
  <c r="W95" i="30"/>
  <c r="AK95" i="30"/>
  <c r="AR95" i="30"/>
  <c r="AD95" i="30"/>
  <c r="Z95" i="30"/>
  <c r="R95" i="30"/>
  <c r="AJ95" i="30" l="1"/>
  <c r="AT96" i="30"/>
  <c r="AD96" i="30"/>
  <c r="AS96" i="30"/>
  <c r="AC96" i="30"/>
  <c r="AY96" i="30"/>
  <c r="AK96" i="30"/>
  <c r="V96" i="30"/>
  <c r="R96" i="30"/>
  <c r="T96" i="30"/>
  <c r="AN96" i="30"/>
  <c r="Y96" i="30"/>
  <c r="AV96" i="30"/>
  <c r="S96" i="30"/>
  <c r="AG96" i="30"/>
  <c r="AX96" i="30"/>
  <c r="AA96" i="30"/>
  <c r="AU96" i="30"/>
  <c r="U96" i="30"/>
  <c r="X96" i="30"/>
  <c r="AL96" i="30"/>
  <c r="AP96" i="30"/>
  <c r="AE96" i="30"/>
  <c r="AR96" i="30"/>
  <c r="AB96" i="30"/>
  <c r="AW96" i="30"/>
  <c r="AF96" i="30"/>
  <c r="Z96" i="30"/>
  <c r="AO96" i="30"/>
  <c r="AM96" i="30"/>
  <c r="AZ96" i="30"/>
  <c r="AQ96" i="30"/>
  <c r="W96" i="30"/>
  <c r="AJ96" i="30" l="1"/>
  <c r="AY97" i="30"/>
  <c r="AA97" i="30"/>
  <c r="X97" i="30"/>
  <c r="R97" i="30"/>
  <c r="AF97" i="30"/>
  <c r="AB97" i="30"/>
  <c r="S97" i="30"/>
  <c r="AZ97" i="30"/>
  <c r="AV97" i="30"/>
  <c r="T97" i="30"/>
  <c r="AG97" i="30"/>
  <c r="AP97" i="30"/>
  <c r="AC97" i="30"/>
  <c r="AW97" i="30"/>
  <c r="AQ97" i="30"/>
  <c r="AM97" i="30"/>
  <c r="AK97" i="30"/>
  <c r="AT97" i="30"/>
  <c r="AL97" i="30"/>
  <c r="AN97" i="30"/>
  <c r="AR97" i="30"/>
  <c r="AD97" i="30"/>
  <c r="AU97" i="30"/>
  <c r="AO97" i="30"/>
  <c r="V97" i="30"/>
  <c r="Z97" i="30"/>
  <c r="Y97" i="30"/>
  <c r="AX97" i="30"/>
  <c r="AE97" i="30"/>
  <c r="W97" i="30"/>
  <c r="U97" i="30"/>
  <c r="AS97" i="30"/>
  <c r="AJ97" i="30" l="1"/>
  <c r="AV98" i="30"/>
  <c r="AF98" i="30"/>
  <c r="AZ98" i="30"/>
  <c r="AC98" i="30"/>
  <c r="AO98" i="30"/>
  <c r="T98" i="30"/>
  <c r="AG98" i="30"/>
  <c r="Y98" i="30"/>
  <c r="AK98" i="30"/>
  <c r="AU98" i="30"/>
  <c r="AA98" i="30"/>
  <c r="AX98" i="30"/>
  <c r="W98" i="30"/>
  <c r="AN98" i="30"/>
  <c r="S98" i="30"/>
  <c r="AQ98" i="30"/>
  <c r="V98" i="30"/>
  <c r="AD98" i="30"/>
  <c r="Z98" i="30"/>
  <c r="AE98" i="30"/>
  <c r="AM98" i="30"/>
  <c r="AW98" i="30"/>
  <c r="U98" i="30"/>
  <c r="AS98" i="30"/>
  <c r="AB98" i="30"/>
  <c r="AP98" i="30"/>
  <c r="AL98" i="30"/>
  <c r="X98" i="30"/>
  <c r="R98" i="30"/>
  <c r="AY98" i="30"/>
  <c r="AR98" i="30"/>
  <c r="AT98" i="30"/>
  <c r="AJ98" i="30" l="1"/>
  <c r="AY99" i="30"/>
  <c r="AV99" i="30"/>
  <c r="AG99" i="30"/>
  <c r="AF99" i="30"/>
  <c r="AR99" i="30"/>
  <c r="AN99" i="30"/>
  <c r="V99" i="30"/>
  <c r="Y99" i="30"/>
  <c r="T99" i="30"/>
  <c r="AO99" i="30"/>
  <c r="AU99" i="30"/>
  <c r="AD99" i="30"/>
  <c r="W99" i="30"/>
  <c r="AS99" i="30"/>
  <c r="AQ99" i="30"/>
  <c r="AK99" i="30"/>
  <c r="X99" i="30"/>
  <c r="S99" i="30"/>
  <c r="AX99" i="30"/>
  <c r="AC99" i="30"/>
  <c r="AP99" i="30"/>
  <c r="AL99" i="30"/>
  <c r="AZ99" i="30"/>
  <c r="AT99" i="30"/>
  <c r="AW99" i="30"/>
  <c r="U99" i="30"/>
  <c r="AM99" i="30"/>
  <c r="Z99" i="30"/>
  <c r="AE99" i="30"/>
  <c r="AB99" i="30"/>
  <c r="R99" i="30"/>
  <c r="AA99" i="30"/>
  <c r="AJ99" i="30" l="1"/>
  <c r="AX100" i="30"/>
  <c r="AZ100" i="30"/>
  <c r="Y100" i="30"/>
  <c r="AK100" i="30"/>
  <c r="AT100" i="30"/>
  <c r="AF100" i="30"/>
  <c r="AG100" i="30"/>
  <c r="V100" i="30"/>
  <c r="AV100" i="30"/>
  <c r="AW100" i="30"/>
  <c r="W100" i="30"/>
  <c r="AO100" i="30"/>
  <c r="AS100" i="30"/>
  <c r="AN100" i="30"/>
  <c r="AM100" i="30"/>
  <c r="AD100" i="30"/>
  <c r="AR100" i="30"/>
  <c r="AP100" i="30"/>
  <c r="S100" i="30"/>
  <c r="AC100" i="30"/>
  <c r="AL100" i="30"/>
  <c r="AA100" i="30"/>
  <c r="AB100" i="30"/>
  <c r="AE100" i="30"/>
  <c r="AY100" i="30"/>
  <c r="AU100" i="30"/>
  <c r="R100" i="30"/>
  <c r="U100" i="30"/>
  <c r="Z100" i="30"/>
  <c r="T100" i="30"/>
  <c r="AQ100" i="30"/>
  <c r="X100" i="30"/>
  <c r="AJ100" i="30" l="1"/>
  <c r="AK101" i="30"/>
  <c r="AD101" i="30"/>
  <c r="AF101" i="30"/>
  <c r="AY101" i="30"/>
  <c r="Y101" i="30"/>
  <c r="X101" i="30"/>
  <c r="AG101" i="30"/>
  <c r="AT101" i="30"/>
  <c r="W101" i="30"/>
  <c r="AB101" i="30"/>
  <c r="AL101" i="30"/>
  <c r="AV101" i="30"/>
  <c r="U101" i="30"/>
  <c r="T101" i="30"/>
  <c r="AC101" i="30"/>
  <c r="AX101" i="30"/>
  <c r="S101" i="30"/>
  <c r="AW101" i="30"/>
  <c r="V101" i="30"/>
  <c r="AQ101" i="30"/>
  <c r="AU101" i="30"/>
  <c r="Z101" i="30"/>
  <c r="AP101" i="30"/>
  <c r="R101" i="30"/>
  <c r="AR101" i="30"/>
  <c r="AZ101" i="30"/>
  <c r="AE101" i="30"/>
  <c r="AM101" i="30"/>
  <c r="AS101" i="30"/>
  <c r="AN101" i="30"/>
  <c r="AO101" i="30"/>
  <c r="AA101" i="30"/>
  <c r="AJ101" i="30" l="1"/>
  <c r="X102" i="30"/>
  <c r="AK102" i="30"/>
  <c r="AS102" i="30"/>
  <c r="AA102" i="30"/>
  <c r="U102" i="30"/>
  <c r="AT102" i="30"/>
  <c r="AF102" i="30"/>
  <c r="AM102" i="30"/>
  <c r="AN102" i="30"/>
  <c r="AD102" i="30"/>
  <c r="AZ102" i="30"/>
  <c r="AC102" i="30"/>
  <c r="Z102" i="30"/>
  <c r="Y102" i="30"/>
  <c r="T102" i="30"/>
  <c r="R102" i="30"/>
  <c r="AP102" i="30"/>
  <c r="V102" i="30"/>
  <c r="AR102" i="30"/>
  <c r="AY102" i="30"/>
  <c r="AO102" i="30"/>
  <c r="AW102" i="30"/>
  <c r="AG102" i="30"/>
  <c r="W102" i="30"/>
  <c r="AU102" i="30"/>
  <c r="AV102" i="30"/>
  <c r="AE102" i="30"/>
  <c r="AB102" i="30"/>
  <c r="AL102" i="30"/>
  <c r="AQ102" i="30"/>
  <c r="S102" i="30"/>
  <c r="AX102" i="30"/>
  <c r="AJ102" i="30" l="1"/>
</calcChain>
</file>

<file path=xl/sharedStrings.xml><?xml version="1.0" encoding="utf-8"?>
<sst xmlns="http://schemas.openxmlformats.org/spreadsheetml/2006/main" count="226" uniqueCount="175">
  <si>
    <t>Inductance (mH)</t>
  </si>
  <si>
    <t>mm/s</t>
  </si>
  <si>
    <t>Model</t>
  </si>
  <si>
    <t>Input Voltage</t>
  </si>
  <si>
    <t>Pulley Size</t>
  </si>
  <si>
    <t>Gear Ratio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</si>
  <si>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</si>
  <si>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</si>
  <si>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</si>
  <si>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</si>
  <si>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</si>
  <si>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</si>
  <si>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</si>
  <si>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</si>
  <si>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</si>
  <si>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</si>
  <si>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</si>
  <si>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</si>
  <si>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</si>
  <si>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</si>
  <si>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</si>
  <si>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</si>
  <si>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</si>
  <si>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</si>
  <si>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</si>
  <si>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</si>
  <si>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</si>
  <si>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</si>
  <si>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</si>
  <si>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</si>
  <si>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</si>
  <si>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</si>
  <si>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</si>
  <si>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</si>
  <si>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</si>
  <si>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</si>
  <si>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</si>
  <si>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</si>
  <si>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</si>
  <si>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</si>
  <si>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</si>
  <si>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</si>
  <si>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</si>
  <si>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</si>
  <si>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</si>
  <si>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</si>
  <si>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</si>
  <si>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</si>
  <si>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</si>
  <si>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</si>
  <si>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</si>
  <si>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</si>
  <si>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</si>
  <si>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</si>
  <si>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</si>
  <si>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</si>
  <si>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</si>
  <si>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</si>
  <si>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</si>
  <si>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</si>
  <si>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</si>
  <si>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</si>
  <si>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</si>
  <si>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</si>
  <si>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</si>
  <si>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</si>
  <si>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</si>
  <si>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</si>
  <si>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</si>
  <si>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</si>
  <si>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</si>
  <si>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</si>
  <si>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</si>
  <si>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</si>
  <si>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</si>
  <si>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</si>
  <si>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</si>
  <si>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</si>
  <si>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</si>
  <si>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</si>
  <si>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</si>
  <si>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</si>
  <si>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</si>
  <si>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</si>
  <si>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</si>
  <si>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</si>
  <si>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</si>
  <si>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</si>
  <si>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</si>
  <si>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</si>
  <si>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</si>
  <si>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</si>
  <si>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</si>
  <si>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</si>
  <si>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</si>
  <si>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</si>
  <si>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</si>
  <si>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</si>
  <si>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</si>
  <si>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</si>
  <si>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</si>
  <si>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</si>
  <si>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</si>
  <si>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</si>
  <si>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</si>
  <si>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</si>
  <si>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</si>
  <si>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</si>
  <si>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</si>
  <si>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</si>
  <si>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</si>
  <si>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</si>
  <si>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</si>
  <si>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</si>
  <si>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</si>
  <si>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</si>
  <si>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</si>
  <si>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</si>
  <si>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</si>
  <si>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</si>
  <si>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</si>
  <si>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</si>
  <si>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</si>
  <si>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</si>
  <si>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</si>
  <si>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</si>
  <si>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</si>
  <si>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</si>
  <si>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</si>
  <si>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</si>
  <si>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</si>
  <si>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</si>
  <si>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</si>
  <si>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</si>
  <si>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</si>
  <si>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</si>
  <si>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</si>
  <si>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</si>
  <si>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</si>
  <si>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</si>
  <si>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</si>
  <si>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</si>
  <si>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</si>
  <si>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</si>
  <si>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</si>
  <si>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OMC-17HS19-2004S1</t>
  </si>
  <si>
    <t>42STH48-2504AH</t>
  </si>
  <si>
    <t>42STH48-2504AC</t>
  </si>
  <si>
    <t>36STH20-1004AHG(XH)</t>
  </si>
  <si>
    <t>42STH48-2004MAH(VRN)</t>
  </si>
  <si>
    <t>42STH48-2004AC(VRN)</t>
  </si>
  <si>
    <t>LDO-42STH48-2004AC(VRN)</t>
  </si>
  <si>
    <t>LDO-42STH40-2004MAH(VRN)</t>
  </si>
  <si>
    <t>LDO-42STH48-2004MAH(VRN)</t>
  </si>
  <si>
    <t>https://cdn.shopify.com/s/files/1/0887/0138/files/LDO-57STH56-2804MAC_RC_RevA.pdf?3654</t>
  </si>
  <si>
    <t>57STH56-2804MAC(RC)</t>
  </si>
  <si>
    <t>Hanpose</t>
  </si>
  <si>
    <t>23HS4128</t>
  </si>
  <si>
    <t>Hanpose-23HS4128</t>
  </si>
  <si>
    <t>57STH41-2804MAC(HEV)</t>
  </si>
  <si>
    <t>LDO-57STH41-2804MAC(HEV)</t>
  </si>
  <si>
    <t>https://caribou3d.com/en/hevort/844-09-stepper-motor-ldo-57sth41-2804machev.html</t>
  </si>
  <si>
    <t>https://cdn.shopify.com/s/files/1/0887/0138/files/LDO-42STH40-1004MAHVRN-RevA.pdf?v=1595617094</t>
  </si>
  <si>
    <t>42STH40-1004MAH(VRN)</t>
  </si>
  <si>
    <t>LDO-42STH48-2804AH</t>
  </si>
  <si>
    <t>42STH48-2804AC</t>
  </si>
  <si>
    <t>https://cdn.shopify.com/s/files/1/0887/0138/files/LDO-42STH48-2504AH_RevA.pdf?v=1638979511</t>
  </si>
  <si>
    <t>Tooth Pitch</t>
  </si>
  <si>
    <t>Pulley Radius</t>
  </si>
  <si>
    <t>Body Length (mm)</t>
  </si>
  <si>
    <t>Rotor Inertia  (g-cm^2)</t>
  </si>
  <si>
    <t>Max Current at Specified Power (A)</t>
  </si>
  <si>
    <t>Drive Current (A)</t>
  </si>
  <si>
    <t>Power at drive current (W)</t>
  </si>
  <si>
    <t>Torque Rotor (N-cm)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</si>
</sst>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7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wrapText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40.547859117888564</c:v>
                </c:pt>
                <c:pt idx="1">
                  <c:v>40.547859117888564</c:v>
                </c:pt>
                <c:pt idx="2">
                  <c:v>40.547859117888564</c:v>
                </c:pt>
                <c:pt idx="3">
                  <c:v>40.547859117888564</c:v>
                </c:pt>
                <c:pt idx="4">
                  <c:v>40.547859117888564</c:v>
                </c:pt>
                <c:pt idx="5">
                  <c:v>40.547859117888564</c:v>
                </c:pt>
                <c:pt idx="6">
                  <c:v>40.547859117888564</c:v>
                </c:pt>
                <c:pt idx="7">
                  <c:v>40.547859117888564</c:v>
                </c:pt>
                <c:pt idx="8">
                  <c:v>40.547859117888564</c:v>
                </c:pt>
                <c:pt idx="9">
                  <c:v>40.547859117888564</c:v>
                </c:pt>
                <c:pt idx="10">
                  <c:v>40.547859117888564</c:v>
                </c:pt>
                <c:pt idx="11">
                  <c:v>40.547859117888564</c:v>
                </c:pt>
                <c:pt idx="12">
                  <c:v>40.547859117888564</c:v>
                </c:pt>
                <c:pt idx="13">
                  <c:v>40.174428139361524</c:v>
                </c:pt>
                <c:pt idx="14">
                  <c:v>36.424731612498647</c:v>
                </c:pt>
                <c:pt idx="15">
                  <c:v>33.127034572964277</c:v>
                </c:pt>
                <c:pt idx="16">
                  <c:v>30.204254848488436</c:v>
                </c:pt>
                <c:pt idx="17">
                  <c:v>27.595894570963335</c:v>
                </c:pt>
                <c:pt idx="18">
                  <c:v>25.253807671891938</c:v>
                </c:pt>
                <c:pt idx="19">
                  <c:v>23.139200649257095</c:v>
                </c:pt>
                <c:pt idx="20">
                  <c:v>21.220466778962134</c:v>
                </c:pt>
                <c:pt idx="21">
                  <c:v>19.471595528268896</c:v>
                </c:pt>
                <c:pt idx="22">
                  <c:v>17.870986499697356</c:v>
                </c:pt>
                <c:pt idx="23">
                  <c:v>16.400552755756674</c:v>
                </c:pt>
                <c:pt idx="24">
                  <c:v>15.045034370953008</c:v>
                </c:pt>
                <c:pt idx="25">
                  <c:v>13.791466870623042</c:v>
                </c:pt>
                <c:pt idx="26">
                  <c:v>12.628765261738211</c:v>
                </c:pt>
                <c:pt idx="27">
                  <c:v>11.547395355623053</c:v>
                </c:pt>
                <c:pt idx="28">
                  <c:v>10.539111733367124</c:v>
                </c:pt>
                <c:pt idx="29">
                  <c:v>9.5967471046820219</c:v>
                </c:pt>
                <c:pt idx="30">
                  <c:v>8.7140416725511898</c:v>
                </c:pt>
                <c:pt idx="31">
                  <c:v>7.885503911256631</c:v>
                </c:pt>
                <c:pt idx="32">
                  <c:v>7.1062962116917916</c:v>
                </c:pt>
                <c:pt idx="33">
                  <c:v>6.3721403617845436</c:v>
                </c:pt>
                <c:pt idx="34">
                  <c:v>5.67923896094731</c:v>
                </c:pt>
                <c:pt idx="35">
                  <c:v>5.0242097203628777</c:v>
                </c:pt>
                <c:pt idx="36">
                  <c:v>4.4040302496108827</c:v>
                </c:pt>
                <c:pt idx="37">
                  <c:v>3.8159914275528379</c:v>
                </c:pt>
                <c:pt idx="38">
                  <c:v>3.2576578397341658</c:v>
                </c:pt>
                <c:pt idx="39">
                  <c:v>2.7268340636860566</c:v>
                </c:pt>
                <c:pt idx="40">
                  <c:v>2.2215358179066618</c:v>
                </c:pt>
                <c:pt idx="41">
                  <c:v>1.7399651751678311</c:v>
                </c:pt>
                <c:pt idx="42">
                  <c:v>1.2804891874922628</c:v>
                </c:pt>
                <c:pt idx="43">
                  <c:v>0.84162138723618263</c:v>
                </c:pt>
                <c:pt idx="44">
                  <c:v>0.42200572268876435</c:v>
                </c:pt>
                <c:pt idx="45">
                  <c:v>2.0402562422362047E-2</c:v>
                </c:pt>
                <c:pt idx="46">
                  <c:v>-0.36432353588821087</c:v>
                </c:pt>
                <c:pt idx="47">
                  <c:v>-0.7332145463629427</c:v>
                </c:pt>
                <c:pt idx="48">
                  <c:v>-1.0872283987113738</c:v>
                </c:pt>
                <c:pt idx="49">
                  <c:v>-1.4272472843957273</c:v>
                </c:pt>
                <c:pt idx="50">
                  <c:v>-1.7540849968037875</c:v>
                </c:pt>
                <c:pt idx="51">
                  <c:v>-1.8849555921538759</c:v>
                </c:pt>
                <c:pt idx="52">
                  <c:v>-1.8849555921538759</c:v>
                </c:pt>
                <c:pt idx="53">
                  <c:v>-1.8849555921538759</c:v>
                </c:pt>
                <c:pt idx="54">
                  <c:v>-1.8849555921538759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37.011791225385025</c:v>
                </c:pt>
                <c:pt idx="1">
                  <c:v>37.011791225385025</c:v>
                </c:pt>
                <c:pt idx="2">
                  <c:v>37.011791225385025</c:v>
                </c:pt>
                <c:pt idx="3">
                  <c:v>37.011791225385025</c:v>
                </c:pt>
                <c:pt idx="4">
                  <c:v>37.011791225385025</c:v>
                </c:pt>
                <c:pt idx="5">
                  <c:v>37.011791225385025</c:v>
                </c:pt>
                <c:pt idx="6">
                  <c:v>37.011791225385025</c:v>
                </c:pt>
                <c:pt idx="7">
                  <c:v>37.011791225385025</c:v>
                </c:pt>
                <c:pt idx="8">
                  <c:v>37.011791225385025</c:v>
                </c:pt>
                <c:pt idx="9">
                  <c:v>37.011791225385025</c:v>
                </c:pt>
                <c:pt idx="10">
                  <c:v>37.011791225385025</c:v>
                </c:pt>
                <c:pt idx="11">
                  <c:v>37.011791225385025</c:v>
                </c:pt>
                <c:pt idx="12">
                  <c:v>37.011791225385025</c:v>
                </c:pt>
                <c:pt idx="13">
                  <c:v>37.011791225385025</c:v>
                </c:pt>
                <c:pt idx="14">
                  <c:v>37.011791225385025</c:v>
                </c:pt>
                <c:pt idx="15">
                  <c:v>37.011791225385025</c:v>
                </c:pt>
                <c:pt idx="16">
                  <c:v>37.011791225385025</c:v>
                </c:pt>
                <c:pt idx="17">
                  <c:v>37.011791225385025</c:v>
                </c:pt>
                <c:pt idx="18">
                  <c:v>37.011791225385025</c:v>
                </c:pt>
                <c:pt idx="19">
                  <c:v>37.011791225385025</c:v>
                </c:pt>
                <c:pt idx="20">
                  <c:v>37.011791225385025</c:v>
                </c:pt>
                <c:pt idx="21">
                  <c:v>36.868188743498152</c:v>
                </c:pt>
                <c:pt idx="22">
                  <c:v>34.234622702703504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40.547859117888564</c:v>
                </c:pt>
                <c:pt idx="1">
                  <c:v>40.547859117888564</c:v>
                </c:pt>
                <c:pt idx="2">
                  <c:v>40.547859117888564</c:v>
                </c:pt>
                <c:pt idx="3">
                  <c:v>40.547859117888564</c:v>
                </c:pt>
                <c:pt idx="4">
                  <c:v>40.547859117888564</c:v>
                </c:pt>
                <c:pt idx="5">
                  <c:v>40.547859117888564</c:v>
                </c:pt>
                <c:pt idx="6">
                  <c:v>40.547859117888564</c:v>
                </c:pt>
                <c:pt idx="7">
                  <c:v>40.547859117888564</c:v>
                </c:pt>
                <c:pt idx="8">
                  <c:v>40.547859117888564</c:v>
                </c:pt>
                <c:pt idx="9">
                  <c:v>40.547859117888564</c:v>
                </c:pt>
                <c:pt idx="10">
                  <c:v>40.547859117888564</c:v>
                </c:pt>
                <c:pt idx="11">
                  <c:v>40.547859117888564</c:v>
                </c:pt>
                <c:pt idx="12">
                  <c:v>40.547859117888564</c:v>
                </c:pt>
                <c:pt idx="13">
                  <c:v>40.174428139361524</c:v>
                </c:pt>
                <c:pt idx="14">
                  <c:v>36.424731612498647</c:v>
                </c:pt>
                <c:pt idx="15">
                  <c:v>33.127034572964277</c:v>
                </c:pt>
                <c:pt idx="16">
                  <c:v>30.204254848488436</c:v>
                </c:pt>
                <c:pt idx="17">
                  <c:v>27.595894570963335</c:v>
                </c:pt>
                <c:pt idx="18">
                  <c:v>25.253807671891938</c:v>
                </c:pt>
                <c:pt idx="19">
                  <c:v>23.139200649257095</c:v>
                </c:pt>
                <c:pt idx="20">
                  <c:v>21.220466778962134</c:v>
                </c:pt>
                <c:pt idx="21">
                  <c:v>19.471595528268896</c:v>
                </c:pt>
                <c:pt idx="22">
                  <c:v>17.870986499697356</c:v>
                </c:pt>
                <c:pt idx="23">
                  <c:v>16.400552755756674</c:v>
                </c:pt>
                <c:pt idx="24">
                  <c:v>15.045034370953008</c:v>
                </c:pt>
                <c:pt idx="25">
                  <c:v>13.791466870623042</c:v>
                </c:pt>
                <c:pt idx="26">
                  <c:v>12.628765261738211</c:v>
                </c:pt>
                <c:pt idx="27">
                  <c:v>11.547395355623053</c:v>
                </c:pt>
                <c:pt idx="28">
                  <c:v>10.539111733367124</c:v>
                </c:pt>
                <c:pt idx="29">
                  <c:v>9.5967471046820219</c:v>
                </c:pt>
                <c:pt idx="30">
                  <c:v>8.7140416725511898</c:v>
                </c:pt>
                <c:pt idx="31">
                  <c:v>7.885503911256631</c:v>
                </c:pt>
                <c:pt idx="32">
                  <c:v>7.1062962116917916</c:v>
                </c:pt>
                <c:pt idx="33">
                  <c:v>6.3721403617845436</c:v>
                </c:pt>
                <c:pt idx="34">
                  <c:v>5.67923896094731</c:v>
                </c:pt>
                <c:pt idx="35">
                  <c:v>5.0242097203628777</c:v>
                </c:pt>
                <c:pt idx="36">
                  <c:v>4.4040302496108827</c:v>
                </c:pt>
                <c:pt idx="37">
                  <c:v>3.8159914275528379</c:v>
                </c:pt>
                <c:pt idx="38">
                  <c:v>3.2576578397341658</c:v>
                </c:pt>
                <c:pt idx="39">
                  <c:v>2.7268340636860566</c:v>
                </c:pt>
                <c:pt idx="40">
                  <c:v>2.2215358179066618</c:v>
                </c:pt>
                <c:pt idx="41">
                  <c:v>1.7399651751678311</c:v>
                </c:pt>
                <c:pt idx="42">
                  <c:v>1.2804891874922628</c:v>
                </c:pt>
                <c:pt idx="43">
                  <c:v>0.84162138723618263</c:v>
                </c:pt>
                <c:pt idx="44">
                  <c:v>0.42200572268876435</c:v>
                </c:pt>
                <c:pt idx="45">
                  <c:v>2.0402562422362047E-2</c:v>
                </c:pt>
                <c:pt idx="46">
                  <c:v>-0.36432353588821087</c:v>
                </c:pt>
                <c:pt idx="47">
                  <c:v>-0.7332145463629427</c:v>
                </c:pt>
                <c:pt idx="48">
                  <c:v>-1.0872283987113738</c:v>
                </c:pt>
                <c:pt idx="49">
                  <c:v>-1.4272472843957273</c:v>
                </c:pt>
                <c:pt idx="50">
                  <c:v>-1.7540849968037875</c:v>
                </c:pt>
                <c:pt idx="51">
                  <c:v>-1.8849555921538759</c:v>
                </c:pt>
                <c:pt idx="52">
                  <c:v>-1.8849555921538759</c:v>
                </c:pt>
                <c:pt idx="53">
                  <c:v>-1.8849555921538759</c:v>
                </c:pt>
                <c:pt idx="54">
                  <c:v>-1.8849555921538759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37.011791225385025</c:v>
                </c:pt>
                <c:pt idx="1">
                  <c:v>37.011791225385025</c:v>
                </c:pt>
                <c:pt idx="2">
                  <c:v>37.011791225385025</c:v>
                </c:pt>
                <c:pt idx="3">
                  <c:v>37.011791225385025</c:v>
                </c:pt>
                <c:pt idx="4">
                  <c:v>37.011791225385025</c:v>
                </c:pt>
                <c:pt idx="5">
                  <c:v>37.011791225385025</c:v>
                </c:pt>
                <c:pt idx="6">
                  <c:v>37.011791225385025</c:v>
                </c:pt>
                <c:pt idx="7">
                  <c:v>37.011791225385025</c:v>
                </c:pt>
                <c:pt idx="8">
                  <c:v>37.011791225385025</c:v>
                </c:pt>
                <c:pt idx="9">
                  <c:v>37.011791225385025</c:v>
                </c:pt>
                <c:pt idx="10">
                  <c:v>37.011791225385025</c:v>
                </c:pt>
                <c:pt idx="11">
                  <c:v>37.011791225385025</c:v>
                </c:pt>
                <c:pt idx="12">
                  <c:v>37.011791225385025</c:v>
                </c:pt>
                <c:pt idx="13">
                  <c:v>37.011791225385025</c:v>
                </c:pt>
                <c:pt idx="14">
                  <c:v>37.011791225385025</c:v>
                </c:pt>
                <c:pt idx="15">
                  <c:v>37.011791225385025</c:v>
                </c:pt>
                <c:pt idx="16">
                  <c:v>37.011791225385025</c:v>
                </c:pt>
                <c:pt idx="17">
                  <c:v>37.011791225385025</c:v>
                </c:pt>
                <c:pt idx="18">
                  <c:v>37.011791225385025</c:v>
                </c:pt>
                <c:pt idx="19">
                  <c:v>37.011791225385025</c:v>
                </c:pt>
                <c:pt idx="20">
                  <c:v>37.011791225385025</c:v>
                </c:pt>
                <c:pt idx="21">
                  <c:v>36.868188743498152</c:v>
                </c:pt>
                <c:pt idx="22">
                  <c:v>34.234622702703504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40.547859117888564</c:v>
                </c:pt>
                <c:pt idx="1">
                  <c:v>40.547859117888564</c:v>
                </c:pt>
                <c:pt idx="2">
                  <c:v>40.547859117888564</c:v>
                </c:pt>
                <c:pt idx="3">
                  <c:v>40.547859117888564</c:v>
                </c:pt>
                <c:pt idx="4">
                  <c:v>40.547859117888564</c:v>
                </c:pt>
                <c:pt idx="5">
                  <c:v>40.547859117888564</c:v>
                </c:pt>
                <c:pt idx="6">
                  <c:v>40.547859117888564</c:v>
                </c:pt>
                <c:pt idx="7">
                  <c:v>40.547859117888564</c:v>
                </c:pt>
                <c:pt idx="8">
                  <c:v>40.547859117888564</c:v>
                </c:pt>
                <c:pt idx="9">
                  <c:v>40.547859117888564</c:v>
                </c:pt>
                <c:pt idx="10">
                  <c:v>40.547859117888564</c:v>
                </c:pt>
                <c:pt idx="11">
                  <c:v>40.547859117888564</c:v>
                </c:pt>
                <c:pt idx="12">
                  <c:v>40.547859117888564</c:v>
                </c:pt>
                <c:pt idx="13">
                  <c:v>40.174428139361524</c:v>
                </c:pt>
                <c:pt idx="14">
                  <c:v>36.424731612498647</c:v>
                </c:pt>
                <c:pt idx="15">
                  <c:v>33.127034572964277</c:v>
                </c:pt>
                <c:pt idx="16">
                  <c:v>30.204254848488436</c:v>
                </c:pt>
                <c:pt idx="17">
                  <c:v>27.595894570963335</c:v>
                </c:pt>
                <c:pt idx="18">
                  <c:v>25.253807671891938</c:v>
                </c:pt>
                <c:pt idx="19">
                  <c:v>23.139200649257095</c:v>
                </c:pt>
                <c:pt idx="20">
                  <c:v>21.220466778962134</c:v>
                </c:pt>
                <c:pt idx="21">
                  <c:v>19.471595528268896</c:v>
                </c:pt>
                <c:pt idx="22">
                  <c:v>17.870986499697356</c:v>
                </c:pt>
                <c:pt idx="23">
                  <c:v>16.400552755756674</c:v>
                </c:pt>
                <c:pt idx="24">
                  <c:v>15.045034370953008</c:v>
                </c:pt>
                <c:pt idx="25">
                  <c:v>13.791466870623042</c:v>
                </c:pt>
                <c:pt idx="26">
                  <c:v>12.628765261738211</c:v>
                </c:pt>
                <c:pt idx="27">
                  <c:v>11.547395355623053</c:v>
                </c:pt>
                <c:pt idx="28">
                  <c:v>10.539111733367124</c:v>
                </c:pt>
                <c:pt idx="29">
                  <c:v>9.5967471046820219</c:v>
                </c:pt>
                <c:pt idx="30">
                  <c:v>8.7140416725511898</c:v>
                </c:pt>
                <c:pt idx="31">
                  <c:v>7.885503911256631</c:v>
                </c:pt>
                <c:pt idx="32">
                  <c:v>7.1062962116917916</c:v>
                </c:pt>
                <c:pt idx="33">
                  <c:v>6.3721403617845436</c:v>
                </c:pt>
                <c:pt idx="34">
                  <c:v>5.67923896094731</c:v>
                </c:pt>
                <c:pt idx="35">
                  <c:v>5.0242097203628777</c:v>
                </c:pt>
                <c:pt idx="36">
                  <c:v>4.4040302496108827</c:v>
                </c:pt>
                <c:pt idx="37">
                  <c:v>3.8159914275528379</c:v>
                </c:pt>
                <c:pt idx="38">
                  <c:v>3.2576578397341658</c:v>
                </c:pt>
                <c:pt idx="39">
                  <c:v>2.7268340636860566</c:v>
                </c:pt>
                <c:pt idx="40">
                  <c:v>2.2215358179066618</c:v>
                </c:pt>
                <c:pt idx="41">
                  <c:v>1.7399651751678311</c:v>
                </c:pt>
                <c:pt idx="42">
                  <c:v>1.2804891874922628</c:v>
                </c:pt>
                <c:pt idx="43">
                  <c:v>0.84162138723618263</c:v>
                </c:pt>
                <c:pt idx="44">
                  <c:v>0.42200572268876435</c:v>
                </c:pt>
                <c:pt idx="45">
                  <c:v>2.0402562422362047E-2</c:v>
                </c:pt>
                <c:pt idx="46">
                  <c:v>-0.36432353588821087</c:v>
                </c:pt>
                <c:pt idx="47">
                  <c:v>-0.7332145463629427</c:v>
                </c:pt>
                <c:pt idx="48">
                  <c:v>-1.0872283987113738</c:v>
                </c:pt>
                <c:pt idx="49">
                  <c:v>-1.4272472843957273</c:v>
                </c:pt>
                <c:pt idx="50">
                  <c:v>-1.7540849968037875</c:v>
                </c:pt>
                <c:pt idx="51">
                  <c:v>-1.8849555921538759</c:v>
                </c:pt>
                <c:pt idx="52">
                  <c:v>-1.8849555921538759</c:v>
                </c:pt>
                <c:pt idx="53">
                  <c:v>-1.8849555921538759</c:v>
                </c:pt>
                <c:pt idx="54">
                  <c:v>-1.8849555921538759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37.011791225385025</c:v>
                </c:pt>
                <c:pt idx="1">
                  <c:v>37.011791225385025</c:v>
                </c:pt>
                <c:pt idx="2">
                  <c:v>37.011791225385025</c:v>
                </c:pt>
                <c:pt idx="3">
                  <c:v>37.011791225385025</c:v>
                </c:pt>
                <c:pt idx="4">
                  <c:v>37.011791225385025</c:v>
                </c:pt>
                <c:pt idx="5">
                  <c:v>37.011791225385025</c:v>
                </c:pt>
                <c:pt idx="6">
                  <c:v>37.011791225385025</c:v>
                </c:pt>
                <c:pt idx="7">
                  <c:v>37.011791225385025</c:v>
                </c:pt>
                <c:pt idx="8">
                  <c:v>37.011791225385025</c:v>
                </c:pt>
                <c:pt idx="9">
                  <c:v>37.011791225385025</c:v>
                </c:pt>
                <c:pt idx="10">
                  <c:v>37.011791225385025</c:v>
                </c:pt>
                <c:pt idx="11">
                  <c:v>37.011791225385025</c:v>
                </c:pt>
                <c:pt idx="12">
                  <c:v>37.011791225385025</c:v>
                </c:pt>
                <c:pt idx="13">
                  <c:v>37.011791225385025</c:v>
                </c:pt>
                <c:pt idx="14">
                  <c:v>37.011791225385025</c:v>
                </c:pt>
                <c:pt idx="15">
                  <c:v>37.011791225385025</c:v>
                </c:pt>
                <c:pt idx="16">
                  <c:v>37.011791225385025</c:v>
                </c:pt>
                <c:pt idx="17">
                  <c:v>37.011791225385025</c:v>
                </c:pt>
                <c:pt idx="18">
                  <c:v>37.011791225385025</c:v>
                </c:pt>
                <c:pt idx="19">
                  <c:v>37.011791225385025</c:v>
                </c:pt>
                <c:pt idx="20">
                  <c:v>37.011791225385025</c:v>
                </c:pt>
                <c:pt idx="21">
                  <c:v>36.868188743498152</c:v>
                </c:pt>
                <c:pt idx="22">
                  <c:v>34.234622702703504</c:v>
                </c:pt>
                <c:pt idx="23">
                  <c:v>31.802221284322361</c:v>
                </c:pt>
                <c:pt idx="24">
                  <c:v>29.548783495522105</c:v>
                </c:pt>
                <c:pt idx="25">
                  <c:v>27.455259298443227</c:v>
                </c:pt>
                <c:pt idx="26">
                  <c:v>25.505209752377638</c:v>
                </c:pt>
                <c:pt idx="27">
                  <c:v>23.684374472192626</c:v>
                </c:pt>
                <c:pt idx="28">
                  <c:v>21.980322312660551</c:v>
                </c:pt>
                <c:pt idx="29">
                  <c:v>20.38216717665723</c:v>
                </c:pt>
                <c:pt idx="30">
                  <c:v>18.880335209338355</c:v>
                </c:pt>
                <c:pt idx="31">
                  <c:v>17.466372855524565</c:v>
                </c:pt>
                <c:pt idx="32">
                  <c:v>16.132787650207192</c:v>
                </c:pt>
                <c:pt idx="33">
                  <c:v>14.872915409625381</c:v>
                </c:pt>
                <c:pt idx="34">
                  <c:v>13.68080885281972</c:v>
                </c:pt>
                <c:pt idx="35">
                  <c:v>12.551143724883067</c:v>
                </c:pt>
                <c:pt idx="36">
                  <c:v>11.47913929526498</c:v>
                </c:pt>
                <c:pt idx="37">
                  <c:v>10.460490726963966</c:v>
                </c:pt>
                <c:pt idx="38">
                  <c:v>9.4913112988859822</c:v>
                </c:pt>
                <c:pt idx="39">
                  <c:v>8.5680828463066145</c:v>
                </c:pt>
                <c:pt idx="40">
                  <c:v>7.6876130872814024</c:v>
                </c:pt>
                <c:pt idx="41">
                  <c:v>6.8469987440546873</c:v>
                </c:pt>
                <c:pt idx="42">
                  <c:v>6.0435935616777039</c:v>
                </c:pt>
                <c:pt idx="43">
                  <c:v>5.2749804815644001</c:v>
                </c:pt>
                <c:pt idx="44">
                  <c:v>4.5389473535671385</c:v>
                </c:pt>
                <c:pt idx="45">
                  <c:v>3.8334656725000702</c:v>
                </c:pt>
                <c:pt idx="46">
                  <c:v>3.1566719086555857</c:v>
                </c:pt>
                <c:pt idx="47">
                  <c:v>2.5068510704804474</c:v>
                </c:pt>
                <c:pt idx="48">
                  <c:v>1.8824221941333485</c:v>
                </c:pt>
                <c:pt idx="49">
                  <c:v>1.2819255014466306</c:v>
                </c:pt>
                <c:pt idx="50">
                  <c:v>0.7040110066958718</c:v>
                </c:pt>
                <c:pt idx="51">
                  <c:v>0.14742838500395239</c:v>
                </c:pt>
                <c:pt idx="52">
                  <c:v>-0.38898205765908123</c:v>
                </c:pt>
                <c:pt idx="53">
                  <c:v>-0.90629745013074414</c:v>
                </c:pt>
                <c:pt idx="54">
                  <c:v>-1.4055195754145187</c:v>
                </c:pt>
                <c:pt idx="55">
                  <c:v>-1.8849555921538759</c:v>
                </c:pt>
                <c:pt idx="56">
                  <c:v>-1.8849555921538759</c:v>
                </c:pt>
                <c:pt idx="57">
                  <c:v>-1.8849555921538759</c:v>
                </c:pt>
                <c:pt idx="58">
                  <c:v>-1.8849555921538759</c:v>
                </c:pt>
                <c:pt idx="59">
                  <c:v>-1.8849555921538759</c:v>
                </c:pt>
                <c:pt idx="60">
                  <c:v>-1.8849555921538759</c:v>
                </c:pt>
                <c:pt idx="61">
                  <c:v>-1.8849555921538759</c:v>
                </c:pt>
                <c:pt idx="62">
                  <c:v>-1.8849555921538759</c:v>
                </c:pt>
                <c:pt idx="63">
                  <c:v>-1.8849555921538759</c:v>
                </c:pt>
                <c:pt idx="64">
                  <c:v>-1.8849555921538759</c:v>
                </c:pt>
                <c:pt idx="65">
                  <c:v>-1.8849555921538759</c:v>
                </c:pt>
                <c:pt idx="66">
                  <c:v>-1.8849555921538759</c:v>
                </c:pt>
                <c:pt idx="67">
                  <c:v>-1.8849555921538759</c:v>
                </c:pt>
                <c:pt idx="68">
                  <c:v>-1.8849555921538759</c:v>
                </c:pt>
                <c:pt idx="69">
                  <c:v>-1.8849555921538759</c:v>
                </c:pt>
                <c:pt idx="70">
                  <c:v>-1.8849555921538759</c:v>
                </c:pt>
                <c:pt idx="71">
                  <c:v>-1.8849555921538759</c:v>
                </c:pt>
                <c:pt idx="72">
                  <c:v>-1.8849555921538759</c:v>
                </c:pt>
                <c:pt idx="73">
                  <c:v>-1.8849555921538759</c:v>
                </c:pt>
                <c:pt idx="74">
                  <c:v>-1.8849555921538759</c:v>
                </c:pt>
                <c:pt idx="75">
                  <c:v>-1.8849555921538759</c:v>
                </c:pt>
                <c:pt idx="76">
                  <c:v>-1.8849555921538759</c:v>
                </c:pt>
                <c:pt idx="77">
                  <c:v>-1.8849555921538759</c:v>
                </c:pt>
                <c:pt idx="78">
                  <c:v>-1.8849555921538759</c:v>
                </c:pt>
                <c:pt idx="79">
                  <c:v>-1.8849555921538759</c:v>
                </c:pt>
                <c:pt idx="80">
                  <c:v>-1.8849555921538759</c:v>
                </c:pt>
                <c:pt idx="81">
                  <c:v>-1.8849555921538759</c:v>
                </c:pt>
                <c:pt idx="82">
                  <c:v>-1.8849555921538759</c:v>
                </c:pt>
                <c:pt idx="83">
                  <c:v>-1.8849555921538759</c:v>
                </c:pt>
                <c:pt idx="84">
                  <c:v>-1.8849555921538759</c:v>
                </c:pt>
                <c:pt idx="85">
                  <c:v>-1.8849555921538759</c:v>
                </c:pt>
                <c:pt idx="86">
                  <c:v>-1.8849555921538759</c:v>
                </c:pt>
                <c:pt idx="87">
                  <c:v>-1.8849555921538759</c:v>
                </c:pt>
                <c:pt idx="88">
                  <c:v>-1.8849555921538759</c:v>
                </c:pt>
                <c:pt idx="89">
                  <c:v>-1.8849555921538759</c:v>
                </c:pt>
                <c:pt idx="90">
                  <c:v>-1.8849555921538759</c:v>
                </c:pt>
                <c:pt idx="91">
                  <c:v>-1.8849555921538759</c:v>
                </c:pt>
                <c:pt idx="92">
                  <c:v>-1.8849555921538759</c:v>
                </c:pt>
                <c:pt idx="93">
                  <c:v>-1.8849555921538759</c:v>
                </c:pt>
                <c:pt idx="94">
                  <c:v>-1.8849555921538759</c:v>
                </c:pt>
                <c:pt idx="95">
                  <c:v>-1.8849555921538759</c:v>
                </c:pt>
                <c:pt idx="96">
                  <c:v>-1.8849555921538759</c:v>
                </c:pt>
                <c:pt idx="97">
                  <c:v>-1.8849555921538759</c:v>
                </c:pt>
                <c:pt idx="98">
                  <c:v>-1.8849555921538759</c:v>
                </c:pt>
                <c:pt idx="99">
                  <c:v>-1.8849555921538759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5.6</c:v>
                </c:pt>
                <c:pt idx="1">
                  <c:v>6.9108097595473836</c:v>
                </c:pt>
                <c:pt idx="2">
                  <c:v>8.2216195190947658</c:v>
                </c:pt>
                <c:pt idx="3">
                  <c:v>9.5324292786421498</c:v>
                </c:pt>
                <c:pt idx="4">
                  <c:v>10.843239038189534</c:v>
                </c:pt>
                <c:pt idx="5">
                  <c:v>12.154048797736916</c:v>
                </c:pt>
                <c:pt idx="6">
                  <c:v>13.4648585572843</c:v>
                </c:pt>
                <c:pt idx="7">
                  <c:v>14.775668316831684</c:v>
                </c:pt>
                <c:pt idx="8">
                  <c:v>16.086478076379066</c:v>
                </c:pt>
                <c:pt idx="9">
                  <c:v>17.397287835926448</c:v>
                </c:pt>
                <c:pt idx="10">
                  <c:v>18.708097595473834</c:v>
                </c:pt>
                <c:pt idx="11">
                  <c:v>20.01890735502122</c:v>
                </c:pt>
                <c:pt idx="12">
                  <c:v>21.329717114568602</c:v>
                </c:pt>
                <c:pt idx="13">
                  <c:v>22.640526874115984</c:v>
                </c:pt>
                <c:pt idx="14">
                  <c:v>21.819647982501536</c:v>
                </c:pt>
                <c:pt idx="15">
                  <c:v>20.368175123992671</c:v>
                </c:pt>
                <c:pt idx="16">
                  <c:v>19.050964393973238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6.4</c:v>
                </c:pt>
                <c:pt idx="1">
                  <c:v>7.7108097595473843</c:v>
                </c:pt>
                <c:pt idx="2">
                  <c:v>9.0216195190947666</c:v>
                </c:pt>
                <c:pt idx="3">
                  <c:v>10.332429278642151</c:v>
                </c:pt>
                <c:pt idx="4">
                  <c:v>11.643239038189535</c:v>
                </c:pt>
                <c:pt idx="5">
                  <c:v>12.954048797736917</c:v>
                </c:pt>
                <c:pt idx="6">
                  <c:v>14.264858557284301</c:v>
                </c:pt>
                <c:pt idx="7">
                  <c:v>15.575668316831685</c:v>
                </c:pt>
                <c:pt idx="8">
                  <c:v>16.886478076379071</c:v>
                </c:pt>
                <c:pt idx="9">
                  <c:v>18.197287835926453</c:v>
                </c:pt>
                <c:pt idx="10">
                  <c:v>19.508097595473835</c:v>
                </c:pt>
                <c:pt idx="11">
                  <c:v>20.818907355021217</c:v>
                </c:pt>
                <c:pt idx="12">
                  <c:v>22.129717114568599</c:v>
                </c:pt>
                <c:pt idx="13">
                  <c:v>23.440526874115989</c:v>
                </c:pt>
                <c:pt idx="14">
                  <c:v>21.826880954318252</c:v>
                </c:pt>
                <c:pt idx="15">
                  <c:v>20.344246470768248</c:v>
                </c:pt>
                <c:pt idx="16">
                  <c:v>19.002835293843447</c:v>
                </c:pt>
                <c:pt idx="17">
                  <c:v>17.77035732463818</c:v>
                </c:pt>
                <c:pt idx="18">
                  <c:v>16.622611879400139</c:v>
                </c:pt>
                <c:pt idx="19">
                  <c:v>15.5412438476913</c:v>
                </c:pt>
                <c:pt idx="20">
                  <c:v>14.512182786487534</c:v>
                </c:pt>
                <c:pt idx="21">
                  <c:v>13.524539413327554</c:v>
                </c:pt>
                <c:pt idx="22">
                  <c:v>12.569813959722067</c:v>
                </c:pt>
                <c:pt idx="23">
                  <c:v>11.641320631251117</c:v>
                </c:pt>
                <c:pt idx="24">
                  <c:v>10.733764054172733</c:v>
                </c:pt>
                <c:pt idx="25">
                  <c:v>9.8429240727739611</c:v>
                </c:pt>
                <c:pt idx="26">
                  <c:v>8.9654187588184158</c:v>
                </c:pt>
                <c:pt idx="27">
                  <c:v>8.0985245307531883</c:v>
                </c:pt>
                <c:pt idx="28">
                  <c:v>7.240038419875205</c:v>
                </c:pt>
                <c:pt idx="29">
                  <c:v>6.38817174926701</c:v>
                </c:pt>
                <c:pt idx="30">
                  <c:v>5.5414674408296394</c:v>
                </c:pt>
                <c:pt idx="31">
                  <c:v>4.6987352474202906</c:v>
                </c:pt>
                <c:pt idx="32">
                  <c:v>3.8590006925005205</c:v>
                </c:pt>
                <c:pt idx="33">
                  <c:v>3.0214645705469216</c:v>
                </c:pt>
                <c:pt idx="34">
                  <c:v>2.1854706409208089</c:v>
                </c:pt>
                <c:pt idx="35">
                  <c:v>1.3504797203748891</c:v>
                </c:pt>
                <c:pt idx="36">
                  <c:v>0.51604880342921389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4.4000000000000004</c:v>
                </c:pt>
                <c:pt idx="1">
                  <c:v>5.177599009900991</c:v>
                </c:pt>
                <c:pt idx="2">
                  <c:v>5.9551980198019807</c:v>
                </c:pt>
                <c:pt idx="3">
                  <c:v>6.7327970297029704</c:v>
                </c:pt>
                <c:pt idx="4">
                  <c:v>7.5103960396039611</c:v>
                </c:pt>
                <c:pt idx="5">
                  <c:v>8.2879950495049517</c:v>
                </c:pt>
                <c:pt idx="6">
                  <c:v>9.0655940594059423</c:v>
                </c:pt>
                <c:pt idx="7">
                  <c:v>9.8431930693069312</c:v>
                </c:pt>
                <c:pt idx="8">
                  <c:v>10.620792079207922</c:v>
                </c:pt>
                <c:pt idx="9">
                  <c:v>11.398391089108912</c:v>
                </c:pt>
                <c:pt idx="10">
                  <c:v>12.175990099009901</c:v>
                </c:pt>
                <c:pt idx="11">
                  <c:v>11.512986114309692</c:v>
                </c:pt>
                <c:pt idx="12">
                  <c:v>10.766324909394765</c:v>
                </c:pt>
                <c:pt idx="13">
                  <c:v>10.152051435743843</c:v>
                </c:pt>
                <c:pt idx="14">
                  <c:v>9.6346169419109042</c:v>
                </c:pt>
                <c:pt idx="15">
                  <c:v>9.1894187644790044</c:v>
                </c:pt>
                <c:pt idx="16">
                  <c:v>8.7990280666147918</c:v>
                </c:pt>
                <c:pt idx="17">
                  <c:v>8.4508440517590344</c:v>
                </c:pt>
                <c:pt idx="18">
                  <c:v>8.1355917186504527</c:v>
                </c:pt>
                <c:pt idx="19">
                  <c:v>7.8463346337483237</c:v>
                </c:pt>
                <c:pt idx="20">
                  <c:v>7.5778111246265718</c:v>
                </c:pt>
                <c:pt idx="21">
                  <c:v>7.325978721396627</c:v>
                </c:pt>
                <c:pt idx="22">
                  <c:v>7.0876957222683723</c:v>
                </c:pt>
                <c:pt idx="23">
                  <c:v>6.8604948877361549</c:v>
                </c:pt>
                <c:pt idx="24">
                  <c:v>6.6424201709867567</c:v>
                </c:pt>
                <c:pt idx="25">
                  <c:v>6.4319072995547799</c:v>
                </c:pt>
                <c:pt idx="26">
                  <c:v>6.2276953272602915</c:v>
                </c:pt>
                <c:pt idx="27">
                  <c:v>6.0287603646986545</c:v>
                </c:pt>
                <c:pt idx="28">
                  <c:v>5.8342653963560389</c:v>
                </c:pt>
                <c:pt idx="29">
                  <c:v>5.6435219040506963</c:v>
                </c:pt>
                <c:pt idx="30">
                  <c:v>5.4559602503731881</c:v>
                </c:pt>
                <c:pt idx="31">
                  <c:v>5.2711066280325385</c:v>
                </c:pt>
                <c:pt idx="32">
                  <c:v>5.0885649772207078</c:v>
                </c:pt>
                <c:pt idx="33">
                  <c:v>4.9080026952223577</c:v>
                </c:pt>
                <c:pt idx="34">
                  <c:v>4.7291392647105699</c:v>
                </c:pt>
                <c:pt idx="35">
                  <c:v>4.5517371458111615</c:v>
                </c:pt>
                <c:pt idx="36">
                  <c:v>4.3755944367546187</c:v>
                </c:pt>
                <c:pt idx="37">
                  <c:v>4.2005389257134187</c:v>
                </c:pt>
                <c:pt idx="38">
                  <c:v>4.0264232440191225</c:v>
                </c:pt>
                <c:pt idx="39">
                  <c:v>3.8531208966360158</c:v>
                </c:pt>
                <c:pt idx="40">
                  <c:v>3.6805229953994543</c:v>
                </c:pt>
                <c:pt idx="41">
                  <c:v>3.508535558303806</c:v>
                </c:pt>
                <c:pt idx="42">
                  <c:v>3.3370772670778202</c:v>
                </c:pt>
                <c:pt idx="43">
                  <c:v>3.1660775976208551</c:v>
                </c:pt>
                <c:pt idx="44">
                  <c:v>2.9954752552116917</c:v>
                </c:pt>
                <c:pt idx="45">
                  <c:v>2.8252168599404781</c:v>
                </c:pt>
                <c:pt idx="46">
                  <c:v>2.6552558384458758</c:v>
                </c:pt>
                <c:pt idx="47">
                  <c:v>2.4855514864330956</c:v>
                </c:pt>
                <c:pt idx="48">
                  <c:v>2.3160681731091097</c:v>
                </c:pt>
                <c:pt idx="49">
                  <c:v>2.1467746639828378</c:v>
                </c:pt>
                <c:pt idx="50">
                  <c:v>1.977643542733414</c:v>
                </c:pt>
                <c:pt idx="51">
                  <c:v>1.808650716274284</c:v>
                </c:pt>
                <c:pt idx="52">
                  <c:v>1.6397749899086869</c:v>
                </c:pt>
                <c:pt idx="53">
                  <c:v>1.4709977017183105</c:v>
                </c:pt>
                <c:pt idx="54">
                  <c:v>1.3023024071571039</c:v>
                </c:pt>
                <c:pt idx="55">
                  <c:v>1.1336746063189653</c:v>
                </c:pt>
                <c:pt idx="56">
                  <c:v>0.96510150757668267</c:v>
                </c:pt>
                <c:pt idx="57">
                  <c:v>0.79657182230153467</c:v>
                </c:pt>
                <c:pt idx="58">
                  <c:v>0.62807558620936121</c:v>
                </c:pt>
                <c:pt idx="59">
                  <c:v>0.45960400357253184</c:v>
                </c:pt>
                <c:pt idx="60">
                  <c:v>0.2911493111140635</c:v>
                </c:pt>
                <c:pt idx="61">
                  <c:v>0.12270465888146767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5.8</c:v>
                </c:pt>
                <c:pt idx="1">
                  <c:v>6.6886845827439885</c:v>
                </c:pt>
                <c:pt idx="2">
                  <c:v>7.5773691654879771</c:v>
                </c:pt>
                <c:pt idx="3">
                  <c:v>8.4660537482319658</c:v>
                </c:pt>
                <c:pt idx="4">
                  <c:v>9.3547383309759553</c:v>
                </c:pt>
                <c:pt idx="5">
                  <c:v>10.243422913719943</c:v>
                </c:pt>
                <c:pt idx="6">
                  <c:v>11.132107496463933</c:v>
                </c:pt>
                <c:pt idx="7">
                  <c:v>12.020792079207922</c:v>
                </c:pt>
                <c:pt idx="8">
                  <c:v>12.90947666195191</c:v>
                </c:pt>
                <c:pt idx="9">
                  <c:v>13.798161244695898</c:v>
                </c:pt>
                <c:pt idx="10">
                  <c:v>14.686845827439889</c:v>
                </c:pt>
                <c:pt idx="11">
                  <c:v>15.575530410183877</c:v>
                </c:pt>
                <c:pt idx="12">
                  <c:v>16.464214992927865</c:v>
                </c:pt>
                <c:pt idx="13">
                  <c:v>16.150580765110668</c:v>
                </c:pt>
                <c:pt idx="14">
                  <c:v>15.160152869768721</c:v>
                </c:pt>
                <c:pt idx="15">
                  <c:v>14.309383706537954</c:v>
                </c:pt>
                <c:pt idx="16">
                  <c:v>13.565857468801319</c:v>
                </c:pt>
                <c:pt idx="17">
                  <c:v>12.905746145787651</c:v>
                </c:pt>
                <c:pt idx="18">
                  <c:v>12.311256855685716</c:v>
                </c:pt>
                <c:pt idx="19">
                  <c:v>11.768915592742694</c:v>
                </c:pt>
                <c:pt idx="20">
                  <c:v>11.268389676215534</c:v>
                </c:pt>
                <c:pt idx="21">
                  <c:v>10.801664954246133</c:v>
                </c:pt>
                <c:pt idx="22">
                  <c:v>10.362461347838716</c:v>
                </c:pt>
                <c:pt idx="23">
                  <c:v>9.9458114477968049</c:v>
                </c:pt>
                <c:pt idx="24">
                  <c:v>9.5477525108709376</c:v>
                </c:pt>
                <c:pt idx="25">
                  <c:v>9.1650985169065571</c:v>
                </c:pt>
                <c:pt idx="26">
                  <c:v>8.7952695344624701</c:v>
                </c:pt>
                <c:pt idx="27">
                  <c:v>8.4361626320767211</c:v>
                </c:pt>
                <c:pt idx="28">
                  <c:v>8.0860532627347848</c:v>
                </c:pt>
                <c:pt idx="29">
                  <c:v>7.7435192437443821</c:v>
                </c:pt>
                <c:pt idx="30">
                  <c:v>7.4073816603137956</c:v>
                </c:pt>
                <c:pt idx="31">
                  <c:v>7.0766585641807893</c:v>
                </c:pt>
                <c:pt idx="32">
                  <c:v>6.7505284308531532</c:v>
                </c:pt>
                <c:pt idx="33">
                  <c:v>6.4283011207589196</c:v>
                </c:pt>
                <c:pt idx="34">
                  <c:v>6.109394654966553</c:v>
                </c:pt>
                <c:pt idx="35">
                  <c:v>5.7933165290146134</c:v>
                </c:pt>
                <c:pt idx="36">
                  <c:v>5.4796485926837724</c:v>
                </c:pt>
                <c:pt idx="37">
                  <c:v>5.1680347497480152</c:v>
                </c:pt>
                <c:pt idx="38">
                  <c:v>4.8581709012663952</c:v>
                </c:pt>
                <c:pt idx="39">
                  <c:v>4.5497966840009703</c:v>
                </c:pt>
                <c:pt idx="40">
                  <c:v>4.242688652933202</c:v>
                </c:pt>
                <c:pt idx="41">
                  <c:v>3.9366546314422117</c:v>
                </c:pt>
                <c:pt idx="42">
                  <c:v>3.6315290102127369</c:v>
                </c:pt>
                <c:pt idx="43">
                  <c:v>3.3271688205475867</c:v>
                </c:pt>
                <c:pt idx="44">
                  <c:v>3.0234504425652893</c:v>
                </c:pt>
                <c:pt idx="45">
                  <c:v>2.7202668360746864</c:v>
                </c:pt>
                <c:pt idx="46">
                  <c:v>2.4175252034627976</c:v>
                </c:pt>
                <c:pt idx="47">
                  <c:v>2.1151450110145515</c:v>
                </c:pt>
                <c:pt idx="48">
                  <c:v>1.8130563086933957</c:v>
                </c:pt>
                <c:pt idx="49">
                  <c:v>1.511198299306312</c:v>
                </c:pt>
                <c:pt idx="50">
                  <c:v>1.209518116736203</c:v>
                </c:pt>
                <c:pt idx="51">
                  <c:v>0.90796977999761386</c:v>
                </c:pt>
                <c:pt idx="52">
                  <c:v>0.6065132956062006</c:v>
                </c:pt>
                <c:pt idx="53">
                  <c:v>0.30511388541982698</c:v>
                </c:pt>
                <c:pt idx="54">
                  <c:v>3.7413209226874007E-3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LDO-57STH41-2804MAC(HEV)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5.4879999999999987</c:v>
                </c:pt>
                <c:pt idx="1">
                  <c:v>6.821026874115983</c:v>
                </c:pt>
                <c:pt idx="2">
                  <c:v>8.1540537482319664</c:v>
                </c:pt>
                <c:pt idx="3">
                  <c:v>9.487080622347948</c:v>
                </c:pt>
                <c:pt idx="4">
                  <c:v>10.820107496463931</c:v>
                </c:pt>
                <c:pt idx="5">
                  <c:v>12.153134370579915</c:v>
                </c:pt>
                <c:pt idx="6">
                  <c:v>13.486161244695898</c:v>
                </c:pt>
                <c:pt idx="7">
                  <c:v>14.81918811881188</c:v>
                </c:pt>
                <c:pt idx="8">
                  <c:v>16.152214992927863</c:v>
                </c:pt>
                <c:pt idx="9">
                  <c:v>17.48524186704385</c:v>
                </c:pt>
                <c:pt idx="10">
                  <c:v>18.81826874115983</c:v>
                </c:pt>
                <c:pt idx="11">
                  <c:v>20.151295615275814</c:v>
                </c:pt>
                <c:pt idx="12">
                  <c:v>21.484322489391797</c:v>
                </c:pt>
                <c:pt idx="13">
                  <c:v>22.568672515535692</c:v>
                </c:pt>
                <c:pt idx="14">
                  <c:v>21.322279491462044</c:v>
                </c:pt>
                <c:pt idx="15">
                  <c:v>20.234844651066602</c:v>
                </c:pt>
                <c:pt idx="16">
                  <c:v>19.267866629662677</c:v>
                </c:pt>
                <c:pt idx="17">
                  <c:v>18.393447094448774</c:v>
                </c:pt>
                <c:pt idx="18">
                  <c:v>17.591022999313644</c:v>
                </c:pt>
                <c:pt idx="19">
                  <c:v>16.845206727186266</c:v>
                </c:pt>
                <c:pt idx="20">
                  <c:v>16.144326793575289</c:v>
                </c:pt>
                <c:pt idx="21">
                  <c:v>15.479422320410416</c:v>
                </c:pt>
                <c:pt idx="22">
                  <c:v>14.843537828710225</c:v>
                </c:pt>
                <c:pt idx="23">
                  <c:v>14.231220689106665</c:v>
                </c:pt>
                <c:pt idx="24">
                  <c:v>13.638157755606921</c:v>
                </c:pt>
                <c:pt idx="25">
                  <c:v>13.060909132592071</c:v>
                </c:pt>
                <c:pt idx="26">
                  <c:v>12.496710729264819</c:v>
                </c:pt>
                <c:pt idx="27">
                  <c:v>11.943326186862713</c:v>
                </c:pt>
                <c:pt idx="28">
                  <c:v>11.398934684920217</c:v>
                </c:pt>
                <c:pt idx="29">
                  <c:v>10.862045120576321</c:v>
                </c:pt>
                <c:pt idx="30">
                  <c:v>10.33142987997795</c:v>
                </c:pt>
                <c:pt idx="31">
                  <c:v>9.8060733082993785</c:v>
                </c:pt>
                <c:pt idx="32">
                  <c:v>9.2851313086993805</c:v>
                </c:pt>
                <c:pt idx="33">
                  <c:v>8.767899439894574</c:v>
                </c:pt>
                <c:pt idx="34">
                  <c:v>8.2537875558828784</c:v>
                </c:pt>
                <c:pt idx="35">
                  <c:v>7.742299519697653</c:v>
                </c:pt>
                <c:pt idx="36">
                  <c:v>7.233016880378222</c:v>
                </c:pt>
                <c:pt idx="37">
                  <c:v>6.7255856661269817</c:v>
                </c:pt>
                <c:pt idx="38">
                  <c:v>6.2197056430181501</c:v>
                </c:pt>
                <c:pt idx="39">
                  <c:v>5.7151215360146468</c:v>
                </c:pt>
                <c:pt idx="40">
                  <c:v>5.2116158205002652</c:v>
                </c:pt>
                <c:pt idx="41">
                  <c:v>4.7090027774108663</c:v>
                </c:pt>
                <c:pt idx="42">
                  <c:v>4.2071235701244527</c:v>
                </c:pt>
                <c:pt idx="43">
                  <c:v>3.7058421514850042</c:v>
                </c:pt>
                <c:pt idx="44">
                  <c:v>3.2050418483193686</c:v>
                </c:pt>
                <c:pt idx="45">
                  <c:v>2.704622501246972</c:v>
                </c:pt>
                <c:pt idx="46">
                  <c:v>2.2044980614828606</c:v>
                </c:pt>
                <c:pt idx="47">
                  <c:v>1.704594565199014</c:v>
                </c:pt>
                <c:pt idx="48">
                  <c:v>1.2048484209730932</c:v>
                </c:pt>
                <c:pt idx="49">
                  <c:v>0.70520495778099213</c:v>
                </c:pt>
                <c:pt idx="50">
                  <c:v>0.20561719053980787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Hanpose-23HS4128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5.4879999999999987</c:v>
                </c:pt>
                <c:pt idx="1">
                  <c:v>6.7099413012729832</c:v>
                </c:pt>
                <c:pt idx="2">
                  <c:v>7.9318826025459686</c:v>
                </c:pt>
                <c:pt idx="3">
                  <c:v>9.1538239038189513</c:v>
                </c:pt>
                <c:pt idx="4">
                  <c:v>10.375765205091938</c:v>
                </c:pt>
                <c:pt idx="5">
                  <c:v>11.597706506364922</c:v>
                </c:pt>
                <c:pt idx="6">
                  <c:v>12.819647807637907</c:v>
                </c:pt>
                <c:pt idx="7">
                  <c:v>14.041589108910891</c:v>
                </c:pt>
                <c:pt idx="8">
                  <c:v>15.263530410183876</c:v>
                </c:pt>
                <c:pt idx="9">
                  <c:v>16.48547171145686</c:v>
                </c:pt>
                <c:pt idx="10">
                  <c:v>17.707413012729845</c:v>
                </c:pt>
                <c:pt idx="11">
                  <c:v>18.929354314002829</c:v>
                </c:pt>
                <c:pt idx="12">
                  <c:v>20.151295615275814</c:v>
                </c:pt>
                <c:pt idx="13">
                  <c:v>21.373236916548798</c:v>
                </c:pt>
                <c:pt idx="14">
                  <c:v>22.595178217821783</c:v>
                </c:pt>
                <c:pt idx="15">
                  <c:v>23.817119519094764</c:v>
                </c:pt>
                <c:pt idx="16">
                  <c:v>25.039060820367752</c:v>
                </c:pt>
                <c:pt idx="17">
                  <c:v>26.261002121640736</c:v>
                </c:pt>
                <c:pt idx="18">
                  <c:v>27.482943422913724</c:v>
                </c:pt>
                <c:pt idx="19">
                  <c:v>28.704884724186702</c:v>
                </c:pt>
                <c:pt idx="20">
                  <c:v>29.92682602545969</c:v>
                </c:pt>
                <c:pt idx="21">
                  <c:v>31.013583240553558</c:v>
                </c:pt>
                <c:pt idx="22">
                  <c:v>29.695630863920197</c:v>
                </c:pt>
                <c:pt idx="23">
                  <c:v>28.456893697978884</c:v>
                </c:pt>
                <c:pt idx="24">
                  <c:v>27.283877897578805</c:v>
                </c:pt>
                <c:pt idx="25">
                  <c:v>26.165655221018252</c:v>
                </c:pt>
                <c:pt idx="26">
                  <c:v>25.093315838947834</c:v>
                </c:pt>
                <c:pt idx="27">
                  <c:v>24.05955060231814</c:v>
                </c:pt>
                <c:pt idx="28">
                  <c:v>23.058329213947925</c:v>
                </c:pt>
                <c:pt idx="29">
                  <c:v>22.084650171901291</c:v>
                </c:pt>
                <c:pt idx="30">
                  <c:v>21.134344935835539</c:v>
                </c:pt>
                <c:pt idx="31">
                  <c:v>20.203923421684689</c:v>
                </c:pt>
                <c:pt idx="32">
                  <c:v>19.290451257687444</c:v>
                </c:pt>
                <c:pt idx="33">
                  <c:v>18.391451639022716</c:v>
                </c:pt>
                <c:pt idx="34">
                  <c:v>17.504826372557947</c:v>
                </c:pt>
                <c:pt idx="35">
                  <c:v>16.628791995042924</c:v>
                </c:pt>
                <c:pt idx="36">
                  <c:v>15.761827807676125</c:v>
                </c:pt>
                <c:pt idx="37">
                  <c:v>14.902633388629758</c:v>
                </c:pt>
                <c:pt idx="38">
                  <c:v>14.05009368750888</c:v>
                </c:pt>
                <c:pt idx="39">
                  <c:v>13.20325021807453</c:v>
                </c:pt>
                <c:pt idx="40">
                  <c:v>12.361277181229646</c:v>
                </c:pt>
                <c:pt idx="41">
                  <c:v>11.523461593510534</c:v>
                </c:pt>
                <c:pt idx="42">
                  <c:v>10.689186684932677</c:v>
                </c:pt>
                <c:pt idx="43">
                  <c:v>9.8579179771487127</c:v>
                </c:pt>
                <c:pt idx="44">
                  <c:v>9.0291915682678354</c:v>
                </c:pt>
                <c:pt idx="45">
                  <c:v>8.202604241684881</c:v>
                </c:pt>
                <c:pt idx="46">
                  <c:v>7.3778050883993416</c:v>
                </c:pt>
                <c:pt idx="47">
                  <c:v>6.5544883897617101</c:v>
                </c:pt>
                <c:pt idx="48">
                  <c:v>5.7323875535668547</c:v>
                </c:pt>
                <c:pt idx="49">
                  <c:v>4.9112699333786036</c:v>
                </c:pt>
                <c:pt idx="50">
                  <c:v>4.0909323908122843</c:v>
                </c:pt>
                <c:pt idx="51">
                  <c:v>3.2711974846942744</c:v>
                </c:pt>
                <c:pt idx="52">
                  <c:v>2.451910190706744</c:v>
                </c:pt>
                <c:pt idx="53">
                  <c:v>1.6329350712109816</c:v>
                </c:pt>
                <c:pt idx="54">
                  <c:v>0.81415382813100379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20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4125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5" Type="http://schemas.openxmlformats.org/officeDocument/2006/relationships/hyperlink" Target="https://cdn.shopify.com/s/files/1/0887/0138/files/LDO-42STH48-2504AH_RevA.pdf?v=163897951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24" Type="http://schemas.openxmlformats.org/officeDocument/2006/relationships/hyperlink" Target="https://caribou3d.com/en/hevort/844-09-stepper-motor-ldo-57sth41-2804machev.html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887/0138/files/LDO-57STH56-2804MAC_RC_RevA.pdf?3654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abSelected="1" zoomScale="120" zoomScaleNormal="120" workbookViewId="0">
      <selection activeCell="O15" sqref="O15"/>
    </sheetView>
  </sheetViews>
  <sheetFormatPr defaultColWidth="11.42578125" defaultRowHeight="15" x14ac:dyDescent="0.25"/>
  <cols>
    <col min="1" max="1" width="9.28515625" bestFit="1" customWidth="1"/>
    <col min="2" max="2" width="21.28515625" bestFit="1" customWidth="1"/>
    <col min="3" max="3" width="27.85546875" bestFit="1" customWidth="1"/>
    <col min="7" max="7" width="12" bestFit="1" customWidth="1"/>
    <col min="8" max="8" width="14.42578125" bestFit="1" customWidth="1"/>
    <col min="13" max="13" width="12.85546875" bestFit="1" customWidth="1"/>
    <col min="14" max="14" width="12.7109375" bestFit="1" customWidth="1"/>
    <col min="18" max="52" width="5" customWidth="1"/>
  </cols>
  <sheetData>
    <row r="1" spans="1:53" x14ac:dyDescent="0.25">
      <c r="R1" t="str">
        <f>CONCATENATE("Stepper Torque, ",F2)</f>
        <v>Stepper Torque, 24V, 20T, 10k, 500g, 50W</v>
      </c>
      <c r="AJ1" t="str">
        <f>CONCATENATE("Stepper Power, ",F2)</f>
        <v>Stepper Power, 24V, 20T, 10k, 500g, 50W</v>
      </c>
    </row>
    <row r="2" spans="1:53" ht="145.5" x14ac:dyDescent="0.25">
      <c r="B2" s="1" t="s">
        <v>3</v>
      </c>
      <c r="C2">
        <v>24</v>
      </c>
      <c r="D2" t="s">
        <v>53</v>
      </c>
      <c r="F2" t="str">
        <f>CONCATENATE(C2, "V, ", C6, "T, ",C10/1000,"k, ", C11, "g, ",C5,"W")</f>
        <v>24V, 20T, 10k, 500g, 50W</v>
      </c>
      <c r="Q2" t="s">
        <v>1</v>
      </c>
      <c r="R2" s="3" t="str">
        <f>C14</f>
        <v>OMC-17HS19-2004S1</v>
      </c>
      <c r="S2" s="3" t="str">
        <f>C15</f>
        <v>LDO-42STH48-2004AC(VRN)</v>
      </c>
      <c r="T2" s="3" t="str">
        <f>C16</f>
        <v>LDO-42STH40-2004MAH(VRN)</v>
      </c>
      <c r="U2" s="3" t="str">
        <f>C17</f>
        <v>LDO-42STH48-2004MAH(VRN)</v>
      </c>
      <c r="V2" s="3" t="str">
        <f>C18</f>
        <v>LDO-57STH41-2804MAC(HEV)</v>
      </c>
      <c r="W2" s="3" t="str">
        <f>C19</f>
        <v>Hanpose-23HS4128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59</v>
      </c>
      <c r="AJ2" t="str">
        <f>Q2</f>
        <v>mm/s</v>
      </c>
      <c r="AK2" s="3" t="str">
        <f t="shared" ref="AK2:AZ2" si="0">R2</f>
        <v>OMC-17HS19-2004S1</v>
      </c>
      <c r="AL2" s="3" t="str">
        <f t="shared" si="0"/>
        <v>LDO-42STH48-2004AC(VRN)</v>
      </c>
      <c r="AM2" s="3" t="str">
        <f t="shared" si="0"/>
        <v>LDO-42STH40-2004MAH(VRN)</v>
      </c>
      <c r="AN2" s="3" t="str">
        <f t="shared" si="0"/>
        <v>LDO-42STH48-2004MAH(VRN)</v>
      </c>
      <c r="AO2" s="3" t="str">
        <f t="shared" si="0"/>
        <v>LDO-57STH41-2804MAC(HEV)</v>
      </c>
      <c r="AP2" s="3" t="str">
        <f t="shared" si="0"/>
        <v>Hanpose-23HS4128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5">
      <c r="B3" s="1" t="s">
        <v>51</v>
      </c>
      <c r="C3">
        <v>3</v>
      </c>
      <c r="D3" t="s">
        <v>52</v>
      </c>
      <c r="P3">
        <v>0</v>
      </c>
      <c r="Q3">
        <f>P3*$C$6*$C$7/$C$9</f>
        <v>0</v>
      </c>
      <c r="R3" s="7">
        <f t="shared" ref="R3:R34" si="1">SingleCoilTorque($F$14,$G$14,$H$14,$I$14,$J$14,$K$14,$C$2,$M$14,$P3)-$N$14</f>
        <v>40.437548143569906</v>
      </c>
      <c r="S3" s="7">
        <f t="shared" ref="S3:S34" si="2">SingleCoilTorque($F$15,$G$15,$H$15,$I$15,$J$15,$K$15,$C$2,$M$15,$P3)-$N$15</f>
        <v>40.390424253766064</v>
      </c>
      <c r="T3" s="7">
        <f t="shared" ref="T3:T34" si="3">SingleCoilTorque($F$16,$G$16,$H$16,$I$16,$J$16,$K$16,$C$2,$M$16,$P3)-$N$16</f>
        <v>23.637209855500377</v>
      </c>
      <c r="U3" s="7">
        <f t="shared" ref="U3:U34" si="4">SingleCoilTorque($F$17,$G$17,$H$17,$I$17,$J$17,$K$17,$C$2,$M$17,$P3)-$N$17</f>
        <v>27.220401637807758</v>
      </c>
      <c r="V3" s="7">
        <f t="shared" ref="V3:V34" si="5">SingleCoilTorque($F$18,$G$18,$H$18,$I$18,$J$18,$K$18,$C$2,$M$18,$P3)-$N$18</f>
        <v>40.547859117888564</v>
      </c>
      <c r="W3" s="7">
        <f t="shared" ref="W3:W34" si="6">SingleCoilTorque($F$19,$G$19,$H$19,$I$19,$J$19,$K$19,$C$2,$M$19,$P3)-$N$19</f>
        <v>37.011791225385025</v>
      </c>
      <c r="X3" s="7" t="e">
        <f t="shared" ref="X3:X34" si="7">SingleCoilTorque($F$20,$G$20,$H$20,$I$20,$J$20,$K$20,$C$2,$M$20,$P3)-$N$20</f>
        <v>#VALUE!</v>
      </c>
      <c r="Y3" s="7" t="e">
        <f t="shared" ref="Y3:Y34" si="8">SingleCoilTorque($F$21,$G$21,$H$21,$I$21,$J$21,$K$21,$C$2,$M$21,$P3)-$N$21</f>
        <v>#VALUE!</v>
      </c>
      <c r="Z3" s="7" t="e">
        <f t="shared" ref="Z3:Z34" si="9">SingleCoilTorque($F$22,$G$22,$H$22,$I$22,$J$22,$K$22,$C$2,$M$22,$P3)-$N$22</f>
        <v>#VALUE!</v>
      </c>
      <c r="AA3" s="7" t="e">
        <f t="shared" ref="AA3:AA34" si="10">SingleCoilTorque($F$23,$G$23,$H$23,$I$23,$J$23,$K$23,$C$2,$M$23,$P3)-$N$23</f>
        <v>#VALUE!</v>
      </c>
      <c r="AB3" s="7" t="e">
        <f t="shared" ref="AB3:AB34" si="11">SingleCoilTorque($F$24,$G$24,$H$24,$I$24,$J$24,$K$24,$C$2,$M$24,$P3)-$N$24</f>
        <v>#VALUE!</v>
      </c>
      <c r="AC3" s="7" t="e">
        <f t="shared" ref="AC3:AC34" si="12">SingleCoilTorque($F$25,$G$25,$H$25,$I$25,$J$25,$K$25,$C$2,$M$25,$P3)-$N$25</f>
        <v>#VALUE!</v>
      </c>
      <c r="AD3" s="7" t="e">
        <f t="shared" ref="AD3:AD34" si="13">SingleCoilTorque($F$26,$G$26,$H$26,$I$26,$J$26,$K$26,$C$2,$M$26,$P3)-$N$26</f>
        <v>#VALUE!</v>
      </c>
      <c r="AE3" s="7" t="e">
        <f t="shared" ref="AE3:AE34" si="14">SingleCoilTorque($F$27,$G$27,$H$27,$I$27,$J$27,$K$27,$C$2,$M$27,$P3)-$N$27</f>
        <v>#VALUE!</v>
      </c>
      <c r="AF3" s="7" t="e">
        <f t="shared" ref="AF3:AF34" si="15">SingleCoilTorque($F$28,$G$28,$H$28,$I$28,$J$28,$K$28,$C$2,$M$28,$P3)-$N$28</f>
        <v>#VALUE!</v>
      </c>
      <c r="AG3" s="7" t="e">
        <f t="shared" ref="AG3:AG34" si="16">SingleCoilTorque($F$29,$G$29,$H$29,$I$29,$J$29,$K$29,$C$2,$M$29,$P3)-$N$29</f>
        <v>#VALUE!</v>
      </c>
      <c r="AH3" s="7">
        <f>$C$12</f>
        <v>3.183098861837907</v>
      </c>
      <c r="AJ3">
        <f>Q3</f>
        <v>0</v>
      </c>
      <c r="AK3" s="7">
        <f t="shared" ref="AK3:AK34" si="17">StepperPower($F$14,$G$14,$H$14,$I$14,$J$14,$K$14,$C$2,$M$14,$P3)</f>
        <v>5.6</v>
      </c>
      <c r="AL3" s="7">
        <f t="shared" ref="AL3:AL34" si="18">StepperPower($F$15,$G$15,$H$15,$I$15,$J$15,$K$15,$C$2,$M$15,$P3)</f>
        <v>6.4</v>
      </c>
      <c r="AM3" s="7">
        <f t="shared" ref="AM3:AM34" si="19">StepperPower($F$16,$G$16,$H$16,$I$16,$J$16,$K$16,$C$2,$M$16,$P3)</f>
        <v>4.4000000000000004</v>
      </c>
      <c r="AN3" s="7">
        <f t="shared" ref="AN3:AN34" si="20">StepperPower($F$17,$G$17,$H$17,$I$17,$J$17,$K$17,$C$2,$M$17,$P3)</f>
        <v>5.8</v>
      </c>
      <c r="AO3" s="7">
        <f t="shared" ref="AO3:AO34" si="21">StepperPower($F$18,$G$18,$H$18,$I$18,$J$18,$K$18,$C$2,$M$18,$P3)</f>
        <v>5.4879999999999987</v>
      </c>
      <c r="AP3" s="7">
        <f t="shared" ref="AP3:AP34" si="22">StepperPower($F$19,$G$19,$H$19,$I$19,$J$19,$K$19,$C$2,$M$19,$P3)</f>
        <v>5.4879999999999987</v>
      </c>
      <c r="AQ3" s="7" t="e">
        <f t="shared" ref="AQ3:AQ34" si="23">StepperPower($F$20,$G$20,$H$20,$I$20,$J$20,$K$20,$C$2,$M$20,$P3)</f>
        <v>#VALUE!</v>
      </c>
      <c r="AR3" s="7" t="e">
        <f t="shared" ref="AR3:AR34" si="24">StepperPower($F$21,$G$21,$H$21,$I$21,$J$21,$K$21,$C$2,$M$21,$P3)</f>
        <v>#VALUE!</v>
      </c>
      <c r="AS3" s="7" t="e">
        <f t="shared" ref="AS3:AS34" si="25">StepperPower($F$22,$G$22,$H$22,$I$22,$J$22,$K$22,$C$2,$M$22,$P3)</f>
        <v>#VALUE!</v>
      </c>
      <c r="AT3" s="7" t="e">
        <f t="shared" ref="AT3:AT34" si="26">StepperPower($F$23,$G$23,$H$23,$I$23,$J$23,$K$23,$C$2,$M$23,$P3)</f>
        <v>#VALUE!</v>
      </c>
      <c r="AU3" s="7" t="e">
        <f t="shared" ref="AU3:AU34" si="27">StepperPower($F$24,$G$24,$H$24,$I$24,$J$24,$K$24,$C$2,$M$24,$P3)</f>
        <v>#VALUE!</v>
      </c>
      <c r="AV3" s="7" t="e">
        <f t="shared" ref="AV3:AV34" si="28">StepperPower($F$25,$G$25,$H$25,$I$25,$J$25,$K$25,$C$2,$M$25,$P3)</f>
        <v>#VALUE!</v>
      </c>
      <c r="AW3" s="7" t="e">
        <f t="shared" ref="AW3:AW34" si="29">StepperPower($F$26,$G$26,$H$26,$I$26,$J$26,$K$26,$C$2,$M$26,$P3)</f>
        <v>#VALUE!</v>
      </c>
      <c r="AX3" s="7" t="e">
        <f t="shared" ref="AX3:AX34" si="30">StepperPower($F$27,$G$27,$H$27,$I$27,$J$27,$K$27,$C$2,$M$27,$P3)</f>
        <v>#VALUE!</v>
      </c>
      <c r="AY3" s="7" t="e">
        <f t="shared" ref="AY3:AY34" si="31">StepperPower($F$28,$G$28,$H$28,$I$28,$J$28,$K$28,$C$2,$M$28,$P3)</f>
        <v>#VALUE!</v>
      </c>
      <c r="AZ3" s="7" t="e">
        <f t="shared" ref="AZ3:AZ34" si="32">StepperPower($F$29,$G$29,$H$29,$I$29,$J$29,$K$29,$C$2,$M$29,$P3)</f>
        <v>#VALUE!</v>
      </c>
      <c r="BA3" s="7"/>
    </row>
    <row r="4" spans="1:53" x14ac:dyDescent="0.25">
      <c r="B4" s="1" t="s">
        <v>54</v>
      </c>
      <c r="C4" s="8">
        <v>1</v>
      </c>
      <c r="P4">
        <f>P3+0.5</f>
        <v>0.5</v>
      </c>
      <c r="Q4">
        <f t="shared" ref="Q4:Q67" si="33">P4*$C$6*$C$7/$C$9</f>
        <v>20</v>
      </c>
      <c r="R4" s="7">
        <f t="shared" si="1"/>
        <v>40.437548143569906</v>
      </c>
      <c r="S4" s="7">
        <f t="shared" si="2"/>
        <v>40.390424253766064</v>
      </c>
      <c r="T4" s="7">
        <f t="shared" si="3"/>
        <v>23.637209855500377</v>
      </c>
      <c r="U4" s="7">
        <f t="shared" si="4"/>
        <v>27.220401637807758</v>
      </c>
      <c r="V4" s="7">
        <f t="shared" si="5"/>
        <v>40.547859117888564</v>
      </c>
      <c r="W4" s="7">
        <f t="shared" si="6"/>
        <v>37.011791225385025</v>
      </c>
      <c r="X4" s="7" t="e">
        <f t="shared" si="7"/>
        <v>#VALUE!</v>
      </c>
      <c r="Y4" s="7" t="e">
        <f t="shared" si="8"/>
        <v>#VALUE!</v>
      </c>
      <c r="Z4" s="7" t="e">
        <f t="shared" si="9"/>
        <v>#VALUE!</v>
      </c>
      <c r="AA4" s="7" t="e">
        <f t="shared" si="10"/>
        <v>#VALUE!</v>
      </c>
      <c r="AB4" s="7" t="e">
        <f t="shared" si="11"/>
        <v>#VALUE!</v>
      </c>
      <c r="AC4" s="7" t="e">
        <f t="shared" si="12"/>
        <v>#VALUE!</v>
      </c>
      <c r="AD4" s="7" t="e">
        <f t="shared" si="13"/>
        <v>#VALUE!</v>
      </c>
      <c r="AE4" s="7" t="e">
        <f t="shared" si="14"/>
        <v>#VALUE!</v>
      </c>
      <c r="AF4" s="7" t="e">
        <f t="shared" si="15"/>
        <v>#VALUE!</v>
      </c>
      <c r="AG4" s="7" t="e">
        <f t="shared" si="16"/>
        <v>#VALUE!</v>
      </c>
      <c r="AH4" s="7">
        <f>$C$12</f>
        <v>3.183098861837907</v>
      </c>
      <c r="AJ4">
        <f t="shared" ref="AJ4:AJ67" si="34">Q4</f>
        <v>20</v>
      </c>
      <c r="AK4" s="7">
        <f t="shared" si="17"/>
        <v>6.9108097595473836</v>
      </c>
      <c r="AL4" s="7">
        <f t="shared" si="18"/>
        <v>7.7108097595473843</v>
      </c>
      <c r="AM4" s="7">
        <f t="shared" si="19"/>
        <v>5.177599009900991</v>
      </c>
      <c r="AN4" s="7">
        <f t="shared" si="20"/>
        <v>6.6886845827439885</v>
      </c>
      <c r="AO4" s="7">
        <f t="shared" si="21"/>
        <v>6.821026874115983</v>
      </c>
      <c r="AP4" s="7">
        <f t="shared" si="22"/>
        <v>6.7099413012729832</v>
      </c>
      <c r="AQ4" s="7" t="e">
        <f t="shared" si="23"/>
        <v>#VALUE!</v>
      </c>
      <c r="AR4" s="7" t="e">
        <f t="shared" si="24"/>
        <v>#VALUE!</v>
      </c>
      <c r="AS4" s="7" t="e">
        <f t="shared" si="25"/>
        <v>#VALUE!</v>
      </c>
      <c r="AT4" s="7" t="e">
        <f t="shared" si="26"/>
        <v>#VALUE!</v>
      </c>
      <c r="AU4" s="7" t="e">
        <f t="shared" si="27"/>
        <v>#VALUE!</v>
      </c>
      <c r="AV4" s="7" t="e">
        <f t="shared" si="28"/>
        <v>#VALUE!</v>
      </c>
      <c r="AW4" s="7" t="e">
        <f t="shared" si="29"/>
        <v>#VALUE!</v>
      </c>
      <c r="AX4" s="7" t="e">
        <f t="shared" si="30"/>
        <v>#VALUE!</v>
      </c>
      <c r="AY4" s="7" t="e">
        <f t="shared" si="31"/>
        <v>#VALUE!</v>
      </c>
      <c r="AZ4" s="7" t="e">
        <f t="shared" si="32"/>
        <v>#VALUE!</v>
      </c>
      <c r="BA4" s="7"/>
    </row>
    <row r="5" spans="1:53" x14ac:dyDescent="0.25">
      <c r="B5" s="1" t="s">
        <v>143</v>
      </c>
      <c r="C5">
        <v>50</v>
      </c>
      <c r="D5" t="s">
        <v>144</v>
      </c>
      <c r="P5">
        <f t="shared" ref="P5:P68" si="35">P4+0.5</f>
        <v>1</v>
      </c>
      <c r="Q5">
        <f t="shared" si="33"/>
        <v>40</v>
      </c>
      <c r="R5" s="7">
        <f t="shared" si="1"/>
        <v>40.437548143569906</v>
      </c>
      <c r="S5" s="7">
        <f t="shared" si="2"/>
        <v>40.390424253766064</v>
      </c>
      <c r="T5" s="7">
        <f t="shared" si="3"/>
        <v>23.637209855500377</v>
      </c>
      <c r="U5" s="7">
        <f t="shared" si="4"/>
        <v>27.220401637807758</v>
      </c>
      <c r="V5" s="7">
        <f t="shared" si="5"/>
        <v>40.547859117888564</v>
      </c>
      <c r="W5" s="7">
        <f t="shared" si="6"/>
        <v>37.011791225385025</v>
      </c>
      <c r="X5" s="7" t="e">
        <f t="shared" si="7"/>
        <v>#VALUE!</v>
      </c>
      <c r="Y5" s="7" t="e">
        <f t="shared" si="8"/>
        <v>#VALUE!</v>
      </c>
      <c r="Z5" s="7" t="e">
        <f t="shared" si="9"/>
        <v>#VALUE!</v>
      </c>
      <c r="AA5" s="7" t="e">
        <f t="shared" si="10"/>
        <v>#VALUE!</v>
      </c>
      <c r="AB5" s="7" t="e">
        <f t="shared" si="11"/>
        <v>#VALUE!</v>
      </c>
      <c r="AC5" s="7" t="e">
        <f t="shared" si="12"/>
        <v>#VALUE!</v>
      </c>
      <c r="AD5" s="7" t="e">
        <f t="shared" si="13"/>
        <v>#VALUE!</v>
      </c>
      <c r="AE5" s="7" t="e">
        <f t="shared" si="14"/>
        <v>#VALUE!</v>
      </c>
      <c r="AF5" s="7" t="e">
        <f t="shared" si="15"/>
        <v>#VALUE!</v>
      </c>
      <c r="AG5" s="7" t="e">
        <f t="shared" si="16"/>
        <v>#VALUE!</v>
      </c>
      <c r="AH5" s="7">
        <f>$C$12</f>
        <v>3.183098861837907</v>
      </c>
      <c r="AJ5">
        <f t="shared" si="34"/>
        <v>40</v>
      </c>
      <c r="AK5" s="7">
        <f t="shared" si="17"/>
        <v>8.2216195190947658</v>
      </c>
      <c r="AL5" s="7">
        <f t="shared" si="18"/>
        <v>9.0216195190947666</v>
      </c>
      <c r="AM5" s="7">
        <f t="shared" si="19"/>
        <v>5.9551980198019807</v>
      </c>
      <c r="AN5" s="7">
        <f t="shared" si="20"/>
        <v>7.5773691654879771</v>
      </c>
      <c r="AO5" s="7">
        <f t="shared" si="21"/>
        <v>8.1540537482319664</v>
      </c>
      <c r="AP5" s="7">
        <f t="shared" si="22"/>
        <v>7.9318826025459686</v>
      </c>
      <c r="AQ5" s="7" t="e">
        <f t="shared" si="23"/>
        <v>#VALUE!</v>
      </c>
      <c r="AR5" s="7" t="e">
        <f t="shared" si="24"/>
        <v>#VALUE!</v>
      </c>
      <c r="AS5" s="7" t="e">
        <f t="shared" si="25"/>
        <v>#VALUE!</v>
      </c>
      <c r="AT5" s="7" t="e">
        <f t="shared" si="26"/>
        <v>#VALUE!</v>
      </c>
      <c r="AU5" s="7" t="e">
        <f t="shared" si="27"/>
        <v>#VALUE!</v>
      </c>
      <c r="AV5" s="7" t="e">
        <f t="shared" si="28"/>
        <v>#VALUE!</v>
      </c>
      <c r="AW5" s="7" t="e">
        <f t="shared" si="29"/>
        <v>#VALUE!</v>
      </c>
      <c r="AX5" s="7" t="e">
        <f t="shared" si="30"/>
        <v>#VALUE!</v>
      </c>
      <c r="AY5" s="7" t="e">
        <f t="shared" si="31"/>
        <v>#VALUE!</v>
      </c>
      <c r="AZ5" s="7" t="e">
        <f t="shared" si="32"/>
        <v>#VALUE!</v>
      </c>
      <c r="BA5" s="7"/>
    </row>
    <row r="6" spans="1:53" x14ac:dyDescent="0.25">
      <c r="B6" s="1" t="s">
        <v>4</v>
      </c>
      <c r="C6">
        <v>20</v>
      </c>
      <c r="D6" t="s">
        <v>55</v>
      </c>
      <c r="P6">
        <f>P5+0.5</f>
        <v>1.5</v>
      </c>
      <c r="Q6">
        <f t="shared" si="33"/>
        <v>60</v>
      </c>
      <c r="R6" s="7">
        <f t="shared" si="1"/>
        <v>40.437548143569906</v>
      </c>
      <c r="S6" s="7">
        <f t="shared" si="2"/>
        <v>40.390424253766064</v>
      </c>
      <c r="T6" s="7">
        <f t="shared" si="3"/>
        <v>23.637209855500377</v>
      </c>
      <c r="U6" s="7">
        <f t="shared" si="4"/>
        <v>27.220401637807758</v>
      </c>
      <c r="V6" s="7">
        <f t="shared" si="5"/>
        <v>40.547859117888564</v>
      </c>
      <c r="W6" s="7">
        <f t="shared" si="6"/>
        <v>37.011791225385025</v>
      </c>
      <c r="X6" s="7" t="e">
        <f t="shared" si="7"/>
        <v>#VALUE!</v>
      </c>
      <c r="Y6" s="7" t="e">
        <f t="shared" si="8"/>
        <v>#VALUE!</v>
      </c>
      <c r="Z6" s="7" t="e">
        <f t="shared" si="9"/>
        <v>#VALUE!</v>
      </c>
      <c r="AA6" s="7" t="e">
        <f t="shared" si="10"/>
        <v>#VALUE!</v>
      </c>
      <c r="AB6" s="7" t="e">
        <f t="shared" si="11"/>
        <v>#VALUE!</v>
      </c>
      <c r="AC6" s="7" t="e">
        <f t="shared" si="12"/>
        <v>#VALUE!</v>
      </c>
      <c r="AD6" s="7" t="e">
        <f t="shared" si="13"/>
        <v>#VALUE!</v>
      </c>
      <c r="AE6" s="7" t="e">
        <f t="shared" si="14"/>
        <v>#VALUE!</v>
      </c>
      <c r="AF6" s="7" t="e">
        <f t="shared" si="15"/>
        <v>#VALUE!</v>
      </c>
      <c r="AG6" s="7" t="e">
        <f t="shared" si="16"/>
        <v>#VALUE!</v>
      </c>
      <c r="AH6" s="7">
        <f>$C$12</f>
        <v>3.183098861837907</v>
      </c>
      <c r="AJ6">
        <f t="shared" si="34"/>
        <v>60</v>
      </c>
      <c r="AK6" s="7">
        <f t="shared" si="17"/>
        <v>9.5324292786421498</v>
      </c>
      <c r="AL6" s="7">
        <f t="shared" si="18"/>
        <v>10.332429278642151</v>
      </c>
      <c r="AM6" s="7">
        <f t="shared" si="19"/>
        <v>6.7327970297029704</v>
      </c>
      <c r="AN6" s="7">
        <f t="shared" si="20"/>
        <v>8.4660537482319658</v>
      </c>
      <c r="AO6" s="7">
        <f t="shared" si="21"/>
        <v>9.487080622347948</v>
      </c>
      <c r="AP6" s="7">
        <f t="shared" si="22"/>
        <v>9.1538239038189513</v>
      </c>
      <c r="AQ6" s="7" t="e">
        <f t="shared" si="23"/>
        <v>#VALUE!</v>
      </c>
      <c r="AR6" s="7" t="e">
        <f t="shared" si="24"/>
        <v>#VALUE!</v>
      </c>
      <c r="AS6" s="7" t="e">
        <f t="shared" si="25"/>
        <v>#VALUE!</v>
      </c>
      <c r="AT6" s="7" t="e">
        <f t="shared" si="26"/>
        <v>#VALUE!</v>
      </c>
      <c r="AU6" s="7" t="e">
        <f t="shared" si="27"/>
        <v>#VALUE!</v>
      </c>
      <c r="AV6" s="7" t="e">
        <f t="shared" si="28"/>
        <v>#VALUE!</v>
      </c>
      <c r="AW6" s="7" t="e">
        <f t="shared" si="29"/>
        <v>#VALUE!</v>
      </c>
      <c r="AX6" s="7" t="e">
        <f t="shared" si="30"/>
        <v>#VALUE!</v>
      </c>
      <c r="AY6" s="7" t="e">
        <f t="shared" si="31"/>
        <v>#VALUE!</v>
      </c>
      <c r="AZ6" s="7" t="e">
        <f t="shared" si="32"/>
        <v>#VALUE!</v>
      </c>
      <c r="BA6" s="7"/>
    </row>
    <row r="7" spans="1:53" x14ac:dyDescent="0.25">
      <c r="B7" s="1" t="s">
        <v>167</v>
      </c>
      <c r="C7">
        <v>2</v>
      </c>
      <c r="D7" t="s">
        <v>8</v>
      </c>
      <c r="P7">
        <f t="shared" si="35"/>
        <v>2</v>
      </c>
      <c r="Q7">
        <f t="shared" si="33"/>
        <v>80</v>
      </c>
      <c r="R7" s="7">
        <f t="shared" si="1"/>
        <v>40.437548143569906</v>
      </c>
      <c r="S7" s="7">
        <f t="shared" si="2"/>
        <v>40.390424253766064</v>
      </c>
      <c r="T7" s="7">
        <f t="shared" si="3"/>
        <v>23.637209855500377</v>
      </c>
      <c r="U7" s="7">
        <f t="shared" si="4"/>
        <v>27.220401637807758</v>
      </c>
      <c r="V7" s="7">
        <f t="shared" si="5"/>
        <v>40.547859117888564</v>
      </c>
      <c r="W7" s="7">
        <f t="shared" si="6"/>
        <v>37.011791225385025</v>
      </c>
      <c r="X7" s="7" t="e">
        <f t="shared" si="7"/>
        <v>#VALUE!</v>
      </c>
      <c r="Y7" s="7" t="e">
        <f t="shared" si="8"/>
        <v>#VALUE!</v>
      </c>
      <c r="Z7" s="7" t="e">
        <f t="shared" si="9"/>
        <v>#VALUE!</v>
      </c>
      <c r="AA7" s="7" t="e">
        <f t="shared" si="10"/>
        <v>#VALUE!</v>
      </c>
      <c r="AB7" s="7" t="e">
        <f t="shared" si="11"/>
        <v>#VALUE!</v>
      </c>
      <c r="AC7" s="7" t="e">
        <f t="shared" si="12"/>
        <v>#VALUE!</v>
      </c>
      <c r="AD7" s="7" t="e">
        <f t="shared" si="13"/>
        <v>#VALUE!</v>
      </c>
      <c r="AE7" s="7" t="e">
        <f t="shared" si="14"/>
        <v>#VALUE!</v>
      </c>
      <c r="AF7" s="7" t="e">
        <f t="shared" si="15"/>
        <v>#VALUE!</v>
      </c>
      <c r="AG7" s="7" t="e">
        <f t="shared" si="16"/>
        <v>#VALUE!</v>
      </c>
      <c r="AH7" s="7">
        <f>$C$12</f>
        <v>3.183098861837907</v>
      </c>
      <c r="AJ7">
        <f t="shared" si="34"/>
        <v>80</v>
      </c>
      <c r="AK7" s="7">
        <f t="shared" si="17"/>
        <v>10.843239038189534</v>
      </c>
      <c r="AL7" s="7">
        <f t="shared" si="18"/>
        <v>11.643239038189535</v>
      </c>
      <c r="AM7" s="7">
        <f t="shared" si="19"/>
        <v>7.5103960396039611</v>
      </c>
      <c r="AN7" s="7">
        <f t="shared" si="20"/>
        <v>9.3547383309759553</v>
      </c>
      <c r="AO7" s="7">
        <f t="shared" si="21"/>
        <v>10.820107496463931</v>
      </c>
      <c r="AP7" s="7">
        <f t="shared" si="22"/>
        <v>10.375765205091938</v>
      </c>
      <c r="AQ7" s="7" t="e">
        <f t="shared" si="23"/>
        <v>#VALUE!</v>
      </c>
      <c r="AR7" s="7" t="e">
        <f t="shared" si="24"/>
        <v>#VALUE!</v>
      </c>
      <c r="AS7" s="7" t="e">
        <f t="shared" si="25"/>
        <v>#VALUE!</v>
      </c>
      <c r="AT7" s="7" t="e">
        <f t="shared" si="26"/>
        <v>#VALUE!</v>
      </c>
      <c r="AU7" s="7" t="e">
        <f t="shared" si="27"/>
        <v>#VALUE!</v>
      </c>
      <c r="AV7" s="7" t="e">
        <f t="shared" si="28"/>
        <v>#VALUE!</v>
      </c>
      <c r="AW7" s="7" t="e">
        <f t="shared" si="29"/>
        <v>#VALUE!</v>
      </c>
      <c r="AX7" s="7" t="e">
        <f t="shared" si="30"/>
        <v>#VALUE!</v>
      </c>
      <c r="AY7" s="7" t="e">
        <f t="shared" si="31"/>
        <v>#VALUE!</v>
      </c>
      <c r="AZ7" s="7" t="e">
        <f t="shared" si="32"/>
        <v>#VALUE!</v>
      </c>
      <c r="BA7" s="7"/>
    </row>
    <row r="8" spans="1:53" x14ac:dyDescent="0.25">
      <c r="B8" s="1" t="s">
        <v>168</v>
      </c>
      <c r="C8">
        <f>C6*C7/(2*PI())</f>
        <v>6.366197723675814</v>
      </c>
      <c r="D8" t="s">
        <v>8</v>
      </c>
      <c r="P8">
        <f t="shared" si="35"/>
        <v>2.5</v>
      </c>
      <c r="Q8">
        <f t="shared" si="33"/>
        <v>100</v>
      </c>
      <c r="R8" s="7">
        <f t="shared" si="1"/>
        <v>40.437548143569906</v>
      </c>
      <c r="S8" s="7">
        <f t="shared" si="2"/>
        <v>40.390424253766064</v>
      </c>
      <c r="T8" s="7">
        <f t="shared" si="3"/>
        <v>23.637209855500377</v>
      </c>
      <c r="U8" s="7">
        <f t="shared" si="4"/>
        <v>27.220401637807758</v>
      </c>
      <c r="V8" s="7">
        <f t="shared" si="5"/>
        <v>40.547859117888564</v>
      </c>
      <c r="W8" s="7">
        <f t="shared" si="6"/>
        <v>37.011791225385025</v>
      </c>
      <c r="X8" s="7" t="e">
        <f t="shared" si="7"/>
        <v>#VALUE!</v>
      </c>
      <c r="Y8" s="7" t="e">
        <f t="shared" si="8"/>
        <v>#VALUE!</v>
      </c>
      <c r="Z8" s="7" t="e">
        <f t="shared" si="9"/>
        <v>#VALUE!</v>
      </c>
      <c r="AA8" s="7" t="e">
        <f t="shared" si="10"/>
        <v>#VALUE!</v>
      </c>
      <c r="AB8" s="7" t="e">
        <f t="shared" si="11"/>
        <v>#VALUE!</v>
      </c>
      <c r="AC8" s="7" t="e">
        <f t="shared" si="12"/>
        <v>#VALUE!</v>
      </c>
      <c r="AD8" s="7" t="e">
        <f t="shared" si="13"/>
        <v>#VALUE!</v>
      </c>
      <c r="AE8" s="7" t="e">
        <f t="shared" si="14"/>
        <v>#VALUE!</v>
      </c>
      <c r="AF8" s="7" t="e">
        <f t="shared" si="15"/>
        <v>#VALUE!</v>
      </c>
      <c r="AG8" s="7" t="e">
        <f t="shared" si="16"/>
        <v>#VALUE!</v>
      </c>
      <c r="AH8" s="7">
        <f>$C$12</f>
        <v>3.183098861837907</v>
      </c>
      <c r="AJ8">
        <f t="shared" si="34"/>
        <v>100</v>
      </c>
      <c r="AK8" s="7">
        <f t="shared" si="17"/>
        <v>12.154048797736916</v>
      </c>
      <c r="AL8" s="7">
        <f t="shared" si="18"/>
        <v>12.954048797736917</v>
      </c>
      <c r="AM8" s="7">
        <f t="shared" si="19"/>
        <v>8.2879950495049517</v>
      </c>
      <c r="AN8" s="7">
        <f t="shared" si="20"/>
        <v>10.243422913719943</v>
      </c>
      <c r="AO8" s="7">
        <f t="shared" si="21"/>
        <v>12.153134370579915</v>
      </c>
      <c r="AP8" s="7">
        <f t="shared" si="22"/>
        <v>11.597706506364922</v>
      </c>
      <c r="AQ8" s="7" t="e">
        <f t="shared" si="23"/>
        <v>#VALUE!</v>
      </c>
      <c r="AR8" s="7" t="e">
        <f t="shared" si="24"/>
        <v>#VALUE!</v>
      </c>
      <c r="AS8" s="7" t="e">
        <f t="shared" si="25"/>
        <v>#VALUE!</v>
      </c>
      <c r="AT8" s="7" t="e">
        <f t="shared" si="26"/>
        <v>#VALUE!</v>
      </c>
      <c r="AU8" s="7" t="e">
        <f t="shared" si="27"/>
        <v>#VALUE!</v>
      </c>
      <c r="AV8" s="7" t="e">
        <f t="shared" si="28"/>
        <v>#VALUE!</v>
      </c>
      <c r="AW8" s="7" t="e">
        <f t="shared" si="29"/>
        <v>#VALUE!</v>
      </c>
      <c r="AX8" s="7" t="e">
        <f t="shared" si="30"/>
        <v>#VALUE!</v>
      </c>
      <c r="AY8" s="7" t="e">
        <f t="shared" si="31"/>
        <v>#VALUE!</v>
      </c>
      <c r="AZ8" s="7" t="e">
        <f t="shared" si="32"/>
        <v>#VALUE!</v>
      </c>
      <c r="BA8" s="7"/>
    </row>
    <row r="9" spans="1:53" x14ac:dyDescent="0.25">
      <c r="B9" s="1" t="s">
        <v>5</v>
      </c>
      <c r="C9">
        <v>1</v>
      </c>
      <c r="P9">
        <f t="shared" si="35"/>
        <v>3</v>
      </c>
      <c r="Q9">
        <f t="shared" si="33"/>
        <v>120</v>
      </c>
      <c r="R9" s="7">
        <f t="shared" si="1"/>
        <v>40.437548143569906</v>
      </c>
      <c r="S9" s="7">
        <f t="shared" si="2"/>
        <v>40.390424253766064</v>
      </c>
      <c r="T9" s="7">
        <f t="shared" si="3"/>
        <v>23.637209855500377</v>
      </c>
      <c r="U9" s="7">
        <f t="shared" si="4"/>
        <v>27.220401637807758</v>
      </c>
      <c r="V9" s="7">
        <f t="shared" si="5"/>
        <v>40.547859117888564</v>
      </c>
      <c r="W9" s="7">
        <f t="shared" si="6"/>
        <v>37.011791225385025</v>
      </c>
      <c r="X9" s="7" t="e">
        <f t="shared" si="7"/>
        <v>#VALUE!</v>
      </c>
      <c r="Y9" s="7" t="e">
        <f t="shared" si="8"/>
        <v>#VALUE!</v>
      </c>
      <c r="Z9" s="7" t="e">
        <f t="shared" si="9"/>
        <v>#VALUE!</v>
      </c>
      <c r="AA9" s="7" t="e">
        <f t="shared" si="10"/>
        <v>#VALUE!</v>
      </c>
      <c r="AB9" s="7" t="e">
        <f t="shared" si="11"/>
        <v>#VALUE!</v>
      </c>
      <c r="AC9" s="7" t="e">
        <f t="shared" si="12"/>
        <v>#VALUE!</v>
      </c>
      <c r="AD9" s="7" t="e">
        <f t="shared" si="13"/>
        <v>#VALUE!</v>
      </c>
      <c r="AE9" s="7" t="e">
        <f t="shared" si="14"/>
        <v>#VALUE!</v>
      </c>
      <c r="AF9" s="7" t="e">
        <f t="shared" si="15"/>
        <v>#VALUE!</v>
      </c>
      <c r="AG9" s="7" t="e">
        <f t="shared" si="16"/>
        <v>#VALUE!</v>
      </c>
      <c r="AH9" s="7">
        <f>$C$12</f>
        <v>3.183098861837907</v>
      </c>
      <c r="AJ9">
        <f t="shared" si="34"/>
        <v>120</v>
      </c>
      <c r="AK9" s="7">
        <f t="shared" si="17"/>
        <v>13.4648585572843</v>
      </c>
      <c r="AL9" s="7">
        <f t="shared" si="18"/>
        <v>14.264858557284301</v>
      </c>
      <c r="AM9" s="7">
        <f t="shared" si="19"/>
        <v>9.0655940594059423</v>
      </c>
      <c r="AN9" s="7">
        <f t="shared" si="20"/>
        <v>11.132107496463933</v>
      </c>
      <c r="AO9" s="7">
        <f t="shared" si="21"/>
        <v>13.486161244695898</v>
      </c>
      <c r="AP9" s="7">
        <f t="shared" si="22"/>
        <v>12.819647807637907</v>
      </c>
      <c r="AQ9" s="7" t="e">
        <f t="shared" si="23"/>
        <v>#VALUE!</v>
      </c>
      <c r="AR9" s="7" t="e">
        <f t="shared" si="24"/>
        <v>#VALUE!</v>
      </c>
      <c r="AS9" s="7" t="e">
        <f t="shared" si="25"/>
        <v>#VALUE!</v>
      </c>
      <c r="AT9" s="7" t="e">
        <f t="shared" si="26"/>
        <v>#VALUE!</v>
      </c>
      <c r="AU9" s="7" t="e">
        <f t="shared" si="27"/>
        <v>#VALUE!</v>
      </c>
      <c r="AV9" s="7" t="e">
        <f t="shared" si="28"/>
        <v>#VALUE!</v>
      </c>
      <c r="AW9" s="7" t="e">
        <f t="shared" si="29"/>
        <v>#VALUE!</v>
      </c>
      <c r="AX9" s="7" t="e">
        <f t="shared" si="30"/>
        <v>#VALUE!</v>
      </c>
      <c r="AY9" s="7" t="e">
        <f t="shared" si="31"/>
        <v>#VALUE!</v>
      </c>
      <c r="AZ9" s="7" t="e">
        <f t="shared" si="32"/>
        <v>#VALUE!</v>
      </c>
      <c r="BA9" s="7"/>
    </row>
    <row r="10" spans="1:53" x14ac:dyDescent="0.25">
      <c r="B10" s="1" t="s">
        <v>56</v>
      </c>
      <c r="C10">
        <v>10000</v>
      </c>
      <c r="D10" t="s">
        <v>7</v>
      </c>
      <c r="P10">
        <f t="shared" si="35"/>
        <v>3.5</v>
      </c>
      <c r="Q10">
        <f t="shared" si="33"/>
        <v>140</v>
      </c>
      <c r="R10" s="7">
        <f t="shared" si="1"/>
        <v>40.437548143569906</v>
      </c>
      <c r="S10" s="7">
        <f t="shared" si="2"/>
        <v>40.390424253766064</v>
      </c>
      <c r="T10" s="7">
        <f t="shared" si="3"/>
        <v>23.637209855500377</v>
      </c>
      <c r="U10" s="7">
        <f t="shared" si="4"/>
        <v>27.220401637807758</v>
      </c>
      <c r="V10" s="7">
        <f t="shared" si="5"/>
        <v>40.547859117888564</v>
      </c>
      <c r="W10" s="7">
        <f t="shared" si="6"/>
        <v>37.011791225385025</v>
      </c>
      <c r="X10" s="7" t="e">
        <f t="shared" si="7"/>
        <v>#VALUE!</v>
      </c>
      <c r="Y10" s="7" t="e">
        <f t="shared" si="8"/>
        <v>#VALUE!</v>
      </c>
      <c r="Z10" s="7" t="e">
        <f t="shared" si="9"/>
        <v>#VALUE!</v>
      </c>
      <c r="AA10" s="7" t="e">
        <f t="shared" si="10"/>
        <v>#VALUE!</v>
      </c>
      <c r="AB10" s="7" t="e">
        <f t="shared" si="11"/>
        <v>#VALUE!</v>
      </c>
      <c r="AC10" s="7" t="e">
        <f t="shared" si="12"/>
        <v>#VALUE!</v>
      </c>
      <c r="AD10" s="7" t="e">
        <f t="shared" si="13"/>
        <v>#VALUE!</v>
      </c>
      <c r="AE10" s="7" t="e">
        <f t="shared" si="14"/>
        <v>#VALUE!</v>
      </c>
      <c r="AF10" s="7" t="e">
        <f t="shared" si="15"/>
        <v>#VALUE!</v>
      </c>
      <c r="AG10" s="7" t="e">
        <f t="shared" si="16"/>
        <v>#VALUE!</v>
      </c>
      <c r="AH10" s="7">
        <f>$C$12</f>
        <v>3.183098861837907</v>
      </c>
      <c r="AJ10">
        <f t="shared" si="34"/>
        <v>140</v>
      </c>
      <c r="AK10" s="7">
        <f t="shared" si="17"/>
        <v>14.775668316831684</v>
      </c>
      <c r="AL10" s="7">
        <f t="shared" si="18"/>
        <v>15.575668316831685</v>
      </c>
      <c r="AM10" s="7">
        <f t="shared" si="19"/>
        <v>9.8431930693069312</v>
      </c>
      <c r="AN10" s="7">
        <f t="shared" si="20"/>
        <v>12.020792079207922</v>
      </c>
      <c r="AO10" s="7">
        <f t="shared" si="21"/>
        <v>14.81918811881188</v>
      </c>
      <c r="AP10" s="7">
        <f t="shared" si="22"/>
        <v>14.041589108910891</v>
      </c>
      <c r="AQ10" s="7" t="e">
        <f t="shared" si="23"/>
        <v>#VALUE!</v>
      </c>
      <c r="AR10" s="7" t="e">
        <f t="shared" si="24"/>
        <v>#VALUE!</v>
      </c>
      <c r="AS10" s="7" t="e">
        <f t="shared" si="25"/>
        <v>#VALUE!</v>
      </c>
      <c r="AT10" s="7" t="e">
        <f t="shared" si="26"/>
        <v>#VALUE!</v>
      </c>
      <c r="AU10" s="7" t="e">
        <f t="shared" si="27"/>
        <v>#VALUE!</v>
      </c>
      <c r="AV10" s="7" t="e">
        <f t="shared" si="28"/>
        <v>#VALUE!</v>
      </c>
      <c r="AW10" s="7" t="e">
        <f t="shared" si="29"/>
        <v>#VALUE!</v>
      </c>
      <c r="AX10" s="7" t="e">
        <f t="shared" si="30"/>
        <v>#VALUE!</v>
      </c>
      <c r="AY10" s="7" t="e">
        <f t="shared" si="31"/>
        <v>#VALUE!</v>
      </c>
      <c r="AZ10" s="7" t="e">
        <f t="shared" si="32"/>
        <v>#VALUE!</v>
      </c>
      <c r="BA10" s="7"/>
    </row>
    <row r="11" spans="1:53" x14ac:dyDescent="0.25">
      <c r="B11" s="1" t="s">
        <v>60</v>
      </c>
      <c r="C11">
        <v>500</v>
      </c>
      <c r="D11" t="s">
        <v>58</v>
      </c>
      <c r="P11">
        <f t="shared" si="35"/>
        <v>4</v>
      </c>
      <c r="Q11">
        <f t="shared" si="33"/>
        <v>160</v>
      </c>
      <c r="R11" s="7">
        <f t="shared" si="1"/>
        <v>40.437548143569906</v>
      </c>
      <c r="S11" s="7">
        <f t="shared" si="2"/>
        <v>40.390424253766064</v>
      </c>
      <c r="T11" s="7">
        <f t="shared" si="3"/>
        <v>23.637209855500377</v>
      </c>
      <c r="U11" s="7">
        <f t="shared" si="4"/>
        <v>27.220401637807758</v>
      </c>
      <c r="V11" s="7">
        <f t="shared" si="5"/>
        <v>40.547859117888564</v>
      </c>
      <c r="W11" s="7">
        <f t="shared" si="6"/>
        <v>37.011791225385025</v>
      </c>
      <c r="X11" s="7" t="e">
        <f t="shared" si="7"/>
        <v>#VALUE!</v>
      </c>
      <c r="Y11" s="7" t="e">
        <f t="shared" si="8"/>
        <v>#VALUE!</v>
      </c>
      <c r="Z11" s="7" t="e">
        <f t="shared" si="9"/>
        <v>#VALUE!</v>
      </c>
      <c r="AA11" s="7" t="e">
        <f t="shared" si="10"/>
        <v>#VALUE!</v>
      </c>
      <c r="AB11" s="7" t="e">
        <f t="shared" si="11"/>
        <v>#VALUE!</v>
      </c>
      <c r="AC11" s="7" t="e">
        <f t="shared" si="12"/>
        <v>#VALUE!</v>
      </c>
      <c r="AD11" s="7" t="e">
        <f t="shared" si="13"/>
        <v>#VALUE!</v>
      </c>
      <c r="AE11" s="7" t="e">
        <f t="shared" si="14"/>
        <v>#VALUE!</v>
      </c>
      <c r="AF11" s="7" t="e">
        <f t="shared" si="15"/>
        <v>#VALUE!</v>
      </c>
      <c r="AG11" s="7" t="e">
        <f t="shared" si="16"/>
        <v>#VALUE!</v>
      </c>
      <c r="AH11" s="7">
        <f>$C$12</f>
        <v>3.183098861837907</v>
      </c>
      <c r="AJ11">
        <f t="shared" si="34"/>
        <v>160</v>
      </c>
      <c r="AK11" s="7">
        <f t="shared" si="17"/>
        <v>16.086478076379066</v>
      </c>
      <c r="AL11" s="7">
        <f t="shared" si="18"/>
        <v>16.886478076379071</v>
      </c>
      <c r="AM11" s="7">
        <f t="shared" si="19"/>
        <v>10.620792079207922</v>
      </c>
      <c r="AN11" s="7">
        <f t="shared" si="20"/>
        <v>12.90947666195191</v>
      </c>
      <c r="AO11" s="7">
        <f t="shared" si="21"/>
        <v>16.152214992927863</v>
      </c>
      <c r="AP11" s="7">
        <f t="shared" si="22"/>
        <v>15.263530410183876</v>
      </c>
      <c r="AQ11" s="7" t="e">
        <f t="shared" si="23"/>
        <v>#VALUE!</v>
      </c>
      <c r="AR11" s="7" t="e">
        <f t="shared" si="24"/>
        <v>#VALUE!</v>
      </c>
      <c r="AS11" s="7" t="e">
        <f t="shared" si="25"/>
        <v>#VALUE!</v>
      </c>
      <c r="AT11" s="7" t="e">
        <f t="shared" si="26"/>
        <v>#VALUE!</v>
      </c>
      <c r="AU11" s="7" t="e">
        <f t="shared" si="27"/>
        <v>#VALUE!</v>
      </c>
      <c r="AV11" s="7" t="e">
        <f t="shared" si="28"/>
        <v>#VALUE!</v>
      </c>
      <c r="AW11" s="7" t="e">
        <f t="shared" si="29"/>
        <v>#VALUE!</v>
      </c>
      <c r="AX11" s="7" t="e">
        <f t="shared" si="30"/>
        <v>#VALUE!</v>
      </c>
      <c r="AY11" s="7" t="e">
        <f t="shared" si="31"/>
        <v>#VALUE!</v>
      </c>
      <c r="AZ11" s="7" t="e">
        <f t="shared" si="32"/>
        <v>#VALUE!</v>
      </c>
      <c r="BA11" s="7"/>
    </row>
    <row r="12" spans="1:53" ht="17.100000000000001" customHeight="1" x14ac:dyDescent="0.25">
      <c r="B12" s="1" t="s">
        <v>59</v>
      </c>
      <c r="C12" s="2">
        <f>C10/1000*C11/1000*(C6*2/C9)/(2*PI()*10)</f>
        <v>3.183098861837907</v>
      </c>
      <c r="D12" t="s">
        <v>57</v>
      </c>
      <c r="E12">
        <f>C12/100</f>
        <v>3.1830988618379068E-2</v>
      </c>
      <c r="P12">
        <f t="shared" si="35"/>
        <v>4.5</v>
      </c>
      <c r="Q12">
        <f t="shared" si="33"/>
        <v>180</v>
      </c>
      <c r="R12" s="7">
        <f t="shared" si="1"/>
        <v>40.437548143569906</v>
      </c>
      <c r="S12" s="7">
        <f t="shared" si="2"/>
        <v>40.390424253766064</v>
      </c>
      <c r="T12" s="7">
        <f t="shared" si="3"/>
        <v>23.637209855500377</v>
      </c>
      <c r="U12" s="7">
        <f t="shared" si="4"/>
        <v>27.220401637807758</v>
      </c>
      <c r="V12" s="7">
        <f t="shared" si="5"/>
        <v>40.547859117888564</v>
      </c>
      <c r="W12" s="7">
        <f t="shared" si="6"/>
        <v>37.011791225385025</v>
      </c>
      <c r="X12" s="7" t="e">
        <f t="shared" si="7"/>
        <v>#VALUE!</v>
      </c>
      <c r="Y12" s="7" t="e">
        <f t="shared" si="8"/>
        <v>#VALUE!</v>
      </c>
      <c r="Z12" s="7" t="e">
        <f t="shared" si="9"/>
        <v>#VALUE!</v>
      </c>
      <c r="AA12" s="7" t="e">
        <f t="shared" si="10"/>
        <v>#VALUE!</v>
      </c>
      <c r="AB12" s="7" t="e">
        <f t="shared" si="11"/>
        <v>#VALUE!</v>
      </c>
      <c r="AC12" s="7" t="e">
        <f t="shared" si="12"/>
        <v>#VALUE!</v>
      </c>
      <c r="AD12" s="7" t="e">
        <f t="shared" si="13"/>
        <v>#VALUE!</v>
      </c>
      <c r="AE12" s="7" t="e">
        <f t="shared" si="14"/>
        <v>#VALUE!</v>
      </c>
      <c r="AF12" s="7" t="e">
        <f t="shared" si="15"/>
        <v>#VALUE!</v>
      </c>
      <c r="AG12" s="7" t="e">
        <f t="shared" si="16"/>
        <v>#VALUE!</v>
      </c>
      <c r="AH12" s="7">
        <f>$C$12</f>
        <v>3.183098861837907</v>
      </c>
      <c r="AJ12">
        <f t="shared" si="34"/>
        <v>180</v>
      </c>
      <c r="AK12" s="7">
        <f t="shared" si="17"/>
        <v>17.397287835926448</v>
      </c>
      <c r="AL12" s="7">
        <f t="shared" si="18"/>
        <v>18.197287835926453</v>
      </c>
      <c r="AM12" s="7">
        <f t="shared" si="19"/>
        <v>11.398391089108912</v>
      </c>
      <c r="AN12" s="7">
        <f t="shared" si="20"/>
        <v>13.798161244695898</v>
      </c>
      <c r="AO12" s="7">
        <f t="shared" si="21"/>
        <v>17.48524186704385</v>
      </c>
      <c r="AP12" s="7">
        <f t="shared" si="22"/>
        <v>16.48547171145686</v>
      </c>
      <c r="AQ12" s="7" t="e">
        <f t="shared" si="23"/>
        <v>#VALUE!</v>
      </c>
      <c r="AR12" s="7" t="e">
        <f t="shared" si="24"/>
        <v>#VALUE!</v>
      </c>
      <c r="AS12" s="7" t="e">
        <f t="shared" si="25"/>
        <v>#VALUE!</v>
      </c>
      <c r="AT12" s="7" t="e">
        <f t="shared" si="26"/>
        <v>#VALUE!</v>
      </c>
      <c r="AU12" s="7" t="e">
        <f t="shared" si="27"/>
        <v>#VALUE!</v>
      </c>
      <c r="AV12" s="7" t="e">
        <f t="shared" si="28"/>
        <v>#VALUE!</v>
      </c>
      <c r="AW12" s="7" t="e">
        <f t="shared" si="29"/>
        <v>#VALUE!</v>
      </c>
      <c r="AX12" s="7" t="e">
        <f t="shared" si="30"/>
        <v>#VALUE!</v>
      </c>
      <c r="AY12" s="7" t="e">
        <f t="shared" si="31"/>
        <v>#VALUE!</v>
      </c>
      <c r="AZ12" s="7" t="e">
        <f t="shared" si="32"/>
        <v>#VALUE!</v>
      </c>
      <c r="BA12" s="7"/>
    </row>
    <row r="13" spans="1:53" ht="60" x14ac:dyDescent="0.25">
      <c r="D13" s="5" t="s">
        <v>9</v>
      </c>
      <c r="E13" s="5" t="s">
        <v>169</v>
      </c>
      <c r="F13" s="5" t="s">
        <v>62</v>
      </c>
      <c r="G13" s="5" t="s">
        <v>63</v>
      </c>
      <c r="H13" s="5" t="s">
        <v>64</v>
      </c>
      <c r="I13" s="5" t="s">
        <v>0</v>
      </c>
      <c r="J13" s="5" t="s">
        <v>65</v>
      </c>
      <c r="K13" s="5" t="s">
        <v>170</v>
      </c>
      <c r="L13" s="5" t="s">
        <v>171</v>
      </c>
      <c r="M13" s="25" t="s">
        <v>172</v>
      </c>
      <c r="N13" s="25" t="s">
        <v>174</v>
      </c>
      <c r="O13" s="25" t="s">
        <v>173</v>
      </c>
      <c r="P13">
        <f t="shared" si="35"/>
        <v>5</v>
      </c>
      <c r="Q13">
        <f t="shared" si="33"/>
        <v>200</v>
      </c>
      <c r="R13" s="7">
        <f t="shared" si="1"/>
        <v>40.437548143569906</v>
      </c>
      <c r="S13" s="7">
        <f t="shared" si="2"/>
        <v>40.390424253766064</v>
      </c>
      <c r="T13" s="7">
        <f t="shared" si="3"/>
        <v>23.637209855500377</v>
      </c>
      <c r="U13" s="7">
        <f t="shared" si="4"/>
        <v>27.220401637807758</v>
      </c>
      <c r="V13" s="7">
        <f t="shared" si="5"/>
        <v>40.547859117888564</v>
      </c>
      <c r="W13" s="7">
        <f t="shared" si="6"/>
        <v>37.011791225385025</v>
      </c>
      <c r="X13" s="7" t="e">
        <f t="shared" si="7"/>
        <v>#VALUE!</v>
      </c>
      <c r="Y13" s="7" t="e">
        <f t="shared" si="8"/>
        <v>#VALUE!</v>
      </c>
      <c r="Z13" s="7" t="e">
        <f t="shared" si="9"/>
        <v>#VALUE!</v>
      </c>
      <c r="AA13" s="7" t="e">
        <f t="shared" si="10"/>
        <v>#VALUE!</v>
      </c>
      <c r="AB13" s="7" t="e">
        <f t="shared" si="11"/>
        <v>#VALUE!</v>
      </c>
      <c r="AC13" s="7" t="e">
        <f t="shared" si="12"/>
        <v>#VALUE!</v>
      </c>
      <c r="AD13" s="7" t="e">
        <f t="shared" si="13"/>
        <v>#VALUE!</v>
      </c>
      <c r="AE13" s="7" t="e">
        <f t="shared" si="14"/>
        <v>#VALUE!</v>
      </c>
      <c r="AF13" s="7" t="e">
        <f t="shared" si="15"/>
        <v>#VALUE!</v>
      </c>
      <c r="AG13" s="7" t="e">
        <f t="shared" si="16"/>
        <v>#VALUE!</v>
      </c>
      <c r="AH13" s="7">
        <f>$C$12</f>
        <v>3.183098861837907</v>
      </c>
      <c r="AJ13">
        <f t="shared" si="34"/>
        <v>200</v>
      </c>
      <c r="AK13" s="7">
        <f t="shared" si="17"/>
        <v>18.708097595473834</v>
      </c>
      <c r="AL13" s="7">
        <f t="shared" si="18"/>
        <v>19.508097595473835</v>
      </c>
      <c r="AM13" s="7">
        <f t="shared" si="19"/>
        <v>12.175990099009901</v>
      </c>
      <c r="AN13" s="7">
        <f t="shared" si="20"/>
        <v>14.686845827439889</v>
      </c>
      <c r="AO13" s="7">
        <f t="shared" si="21"/>
        <v>18.81826874115983</v>
      </c>
      <c r="AP13" s="7">
        <f t="shared" si="22"/>
        <v>17.707413012729845</v>
      </c>
      <c r="AQ13" s="7" t="e">
        <f t="shared" si="23"/>
        <v>#VALUE!</v>
      </c>
      <c r="AR13" s="7" t="e">
        <f t="shared" si="24"/>
        <v>#VALUE!</v>
      </c>
      <c r="AS13" s="7" t="e">
        <f t="shared" si="25"/>
        <v>#VALUE!</v>
      </c>
      <c r="AT13" s="7" t="e">
        <f t="shared" si="26"/>
        <v>#VALUE!</v>
      </c>
      <c r="AU13" s="7" t="e">
        <f t="shared" si="27"/>
        <v>#VALUE!</v>
      </c>
      <c r="AV13" s="7" t="e">
        <f t="shared" si="28"/>
        <v>#VALUE!</v>
      </c>
      <c r="AW13" s="7" t="e">
        <f t="shared" si="29"/>
        <v>#VALUE!</v>
      </c>
      <c r="AX13" s="7" t="e">
        <f t="shared" si="30"/>
        <v>#VALUE!</v>
      </c>
      <c r="AY13" s="7" t="e">
        <f t="shared" si="31"/>
        <v>#VALUE!</v>
      </c>
      <c r="AZ13" s="7" t="e">
        <f t="shared" si="32"/>
        <v>#VALUE!</v>
      </c>
      <c r="BA13" s="7"/>
    </row>
    <row r="14" spans="1:53" x14ac:dyDescent="0.25">
      <c r="A14" t="s">
        <v>35</v>
      </c>
      <c r="C14" s="1" t="s">
        <v>145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1.8</v>
      </c>
      <c r="G14">
        <f>VLOOKUP($C14,'Motor Database'!$A$3:$K$300,7,FALSE)</f>
        <v>2</v>
      </c>
      <c r="H14">
        <f>VLOOKUP($C14,'Motor Database'!$A$3:$K$300,8,FALSE)</f>
        <v>59</v>
      </c>
      <c r="I14">
        <f>VLOOKUP($C14,'Motor Database'!$A$3:$K$300,9,FALSE)</f>
        <v>3</v>
      </c>
      <c r="J14">
        <f>VLOOKUP($C14,'Motor Database'!$A$3:$K$300,10,FALSE)</f>
        <v>1.4</v>
      </c>
      <c r="K14">
        <f>VLOOKUP($C14,'Motor Database'!$A$3:$K$300,11,FALSE)</f>
        <v>82</v>
      </c>
      <c r="L14" s="2">
        <f>SQRT($C$5/2/$J14)</f>
        <v>4.2257712736425832</v>
      </c>
      <c r="M14" s="2">
        <f>MIN($C$3,$C$4*$G14,$G14,L14)</f>
        <v>2</v>
      </c>
      <c r="N14" s="2">
        <f>$C$10/$C$8*(K14/(1000*100^2))*100</f>
        <v>1.288052987971815</v>
      </c>
      <c r="O14">
        <f>M14^2*J14*2</f>
        <v>11.2</v>
      </c>
      <c r="P14">
        <f t="shared" si="35"/>
        <v>5.5</v>
      </c>
      <c r="Q14">
        <f t="shared" si="33"/>
        <v>220</v>
      </c>
      <c r="R14" s="7">
        <f t="shared" si="1"/>
        <v>40.437548143569906</v>
      </c>
      <c r="S14" s="7">
        <f t="shared" si="2"/>
        <v>40.390424253766064</v>
      </c>
      <c r="T14" s="7">
        <f t="shared" si="3"/>
        <v>21.537217416369185</v>
      </c>
      <c r="U14" s="7">
        <f t="shared" si="4"/>
        <v>27.220401637807758</v>
      </c>
      <c r="V14" s="7">
        <f t="shared" si="5"/>
        <v>40.547859117888564</v>
      </c>
      <c r="W14" s="7">
        <f t="shared" si="6"/>
        <v>37.011791225385025</v>
      </c>
      <c r="X14" s="7" t="e">
        <f t="shared" si="7"/>
        <v>#VALUE!</v>
      </c>
      <c r="Y14" s="7" t="e">
        <f t="shared" si="8"/>
        <v>#VALUE!</v>
      </c>
      <c r="Z14" s="7" t="e">
        <f t="shared" si="9"/>
        <v>#VALUE!</v>
      </c>
      <c r="AA14" s="7" t="e">
        <f t="shared" si="10"/>
        <v>#VALUE!</v>
      </c>
      <c r="AB14" s="7" t="e">
        <f t="shared" si="11"/>
        <v>#VALUE!</v>
      </c>
      <c r="AC14" s="7" t="e">
        <f t="shared" si="12"/>
        <v>#VALUE!</v>
      </c>
      <c r="AD14" s="7" t="e">
        <f t="shared" si="13"/>
        <v>#VALUE!</v>
      </c>
      <c r="AE14" s="7" t="e">
        <f t="shared" si="14"/>
        <v>#VALUE!</v>
      </c>
      <c r="AF14" s="7" t="e">
        <f t="shared" si="15"/>
        <v>#VALUE!</v>
      </c>
      <c r="AG14" s="7" t="e">
        <f t="shared" si="16"/>
        <v>#VALUE!</v>
      </c>
      <c r="AH14" s="7">
        <f>$C$12</f>
        <v>3.183098861837907</v>
      </c>
      <c r="AJ14">
        <f t="shared" si="34"/>
        <v>220</v>
      </c>
      <c r="AK14" s="7">
        <f t="shared" si="17"/>
        <v>20.01890735502122</v>
      </c>
      <c r="AL14" s="7">
        <f t="shared" si="18"/>
        <v>20.818907355021217</v>
      </c>
      <c r="AM14" s="7">
        <f t="shared" si="19"/>
        <v>11.512986114309692</v>
      </c>
      <c r="AN14" s="7">
        <f t="shared" si="20"/>
        <v>15.575530410183877</v>
      </c>
      <c r="AO14" s="7">
        <f t="shared" si="21"/>
        <v>20.151295615275814</v>
      </c>
      <c r="AP14" s="7">
        <f t="shared" si="22"/>
        <v>18.929354314002829</v>
      </c>
      <c r="AQ14" s="7" t="e">
        <f t="shared" si="23"/>
        <v>#VALUE!</v>
      </c>
      <c r="AR14" s="7" t="e">
        <f t="shared" si="24"/>
        <v>#VALUE!</v>
      </c>
      <c r="AS14" s="7" t="e">
        <f t="shared" si="25"/>
        <v>#VALUE!</v>
      </c>
      <c r="AT14" s="7" t="e">
        <f t="shared" si="26"/>
        <v>#VALUE!</v>
      </c>
      <c r="AU14" s="7" t="e">
        <f t="shared" si="27"/>
        <v>#VALUE!</v>
      </c>
      <c r="AV14" s="7" t="e">
        <f t="shared" si="28"/>
        <v>#VALUE!</v>
      </c>
      <c r="AW14" s="7" t="e">
        <f t="shared" si="29"/>
        <v>#VALUE!</v>
      </c>
      <c r="AX14" s="7" t="e">
        <f t="shared" si="30"/>
        <v>#VALUE!</v>
      </c>
      <c r="AY14" s="7" t="e">
        <f t="shared" si="31"/>
        <v>#VALUE!</v>
      </c>
      <c r="AZ14" s="7" t="e">
        <f t="shared" si="32"/>
        <v>#VALUE!</v>
      </c>
      <c r="BA14" s="7"/>
    </row>
    <row r="15" spans="1:53" x14ac:dyDescent="0.25">
      <c r="A15" t="s">
        <v>36</v>
      </c>
      <c r="C15" s="1" t="s">
        <v>151</v>
      </c>
      <c r="D15">
        <f>VLOOKUP($C15,'Motor Database'!$A$3:$K$300,4,FALSE)</f>
        <v>17</v>
      </c>
      <c r="E15">
        <f>VLOOKUP($C15,'Motor Database'!$A$3:$K$300,5,FALSE)</f>
        <v>48</v>
      </c>
      <c r="F15">
        <f>VLOOKUP($C15,'Motor Database'!$A$3:$K$300,6,FALSE)</f>
        <v>1.8</v>
      </c>
      <c r="G15">
        <f>VLOOKUP($C15,'Motor Database'!$A$3:$K$300,7,FALSE)</f>
        <v>2</v>
      </c>
      <c r="H15">
        <f>VLOOKUP($C15,'Motor Database'!$A$3:$K$300,8,FALSE)</f>
        <v>59</v>
      </c>
      <c r="I15">
        <f>VLOOKUP($C15,'Motor Database'!$A$3:$K$300,9,FALSE)</f>
        <v>3</v>
      </c>
      <c r="J15">
        <f>VLOOKUP($C15,'Motor Database'!$A$3:$K$300,10,FALSE)</f>
        <v>1.6</v>
      </c>
      <c r="K15">
        <f>VLOOKUP($C15,'Motor Database'!$A$3:$K$300,11,FALSE)</f>
        <v>85</v>
      </c>
      <c r="L15" s="2">
        <f t="shared" ref="L15:L29" si="36">SQRT($C$5/2/$J15)</f>
        <v>3.9528470752104741</v>
      </c>
      <c r="M15" s="2">
        <f t="shared" ref="M15:M29" si="37">MIN($C$3,$C$4*$G15,$G15,L15)</f>
        <v>2</v>
      </c>
      <c r="N15" s="2">
        <f t="shared" ref="N15:N29" si="38">$C$10/$C$8*(K15/(1000*100^2))*100</f>
        <v>1.3351768777756619</v>
      </c>
      <c r="O15">
        <f t="shared" ref="O15:O20" si="39">M15^2*J15*2</f>
        <v>12.8</v>
      </c>
      <c r="P15">
        <f t="shared" si="35"/>
        <v>6</v>
      </c>
      <c r="Q15">
        <f t="shared" si="33"/>
        <v>240</v>
      </c>
      <c r="R15" s="7">
        <f t="shared" si="1"/>
        <v>40.437548143569906</v>
      </c>
      <c r="S15" s="7">
        <f t="shared" si="2"/>
        <v>40.390424253766064</v>
      </c>
      <c r="T15" s="7">
        <f t="shared" si="3"/>
        <v>19.414822037971827</v>
      </c>
      <c r="U15" s="7">
        <f t="shared" si="4"/>
        <v>27.220401637807758</v>
      </c>
      <c r="V15" s="7">
        <f t="shared" si="5"/>
        <v>40.547859117888564</v>
      </c>
      <c r="W15" s="7">
        <f t="shared" si="6"/>
        <v>37.011791225385025</v>
      </c>
      <c r="X15" s="7" t="e">
        <f t="shared" si="7"/>
        <v>#VALUE!</v>
      </c>
      <c r="Y15" s="7" t="e">
        <f t="shared" si="8"/>
        <v>#VALUE!</v>
      </c>
      <c r="Z15" s="7" t="e">
        <f t="shared" si="9"/>
        <v>#VALUE!</v>
      </c>
      <c r="AA15" s="7" t="e">
        <f t="shared" si="10"/>
        <v>#VALUE!</v>
      </c>
      <c r="AB15" s="7" t="e">
        <f t="shared" si="11"/>
        <v>#VALUE!</v>
      </c>
      <c r="AC15" s="7" t="e">
        <f t="shared" si="12"/>
        <v>#VALUE!</v>
      </c>
      <c r="AD15" s="7" t="e">
        <f t="shared" si="13"/>
        <v>#VALUE!</v>
      </c>
      <c r="AE15" s="7" t="e">
        <f t="shared" si="14"/>
        <v>#VALUE!</v>
      </c>
      <c r="AF15" s="7" t="e">
        <f t="shared" si="15"/>
        <v>#VALUE!</v>
      </c>
      <c r="AG15" s="7" t="e">
        <f t="shared" si="16"/>
        <v>#VALUE!</v>
      </c>
      <c r="AH15" s="7">
        <f>$C$12</f>
        <v>3.183098861837907</v>
      </c>
      <c r="AJ15">
        <f t="shared" si="34"/>
        <v>240</v>
      </c>
      <c r="AK15" s="7">
        <f t="shared" si="17"/>
        <v>21.329717114568602</v>
      </c>
      <c r="AL15" s="7">
        <f t="shared" si="18"/>
        <v>22.129717114568599</v>
      </c>
      <c r="AM15" s="7">
        <f t="shared" si="19"/>
        <v>10.766324909394765</v>
      </c>
      <c r="AN15" s="7">
        <f t="shared" si="20"/>
        <v>16.464214992927865</v>
      </c>
      <c r="AO15" s="7">
        <f t="shared" si="21"/>
        <v>21.484322489391797</v>
      </c>
      <c r="AP15" s="7">
        <f t="shared" si="22"/>
        <v>20.151295615275814</v>
      </c>
      <c r="AQ15" s="7" t="e">
        <f t="shared" si="23"/>
        <v>#VALUE!</v>
      </c>
      <c r="AR15" s="7" t="e">
        <f t="shared" si="24"/>
        <v>#VALUE!</v>
      </c>
      <c r="AS15" s="7" t="e">
        <f t="shared" si="25"/>
        <v>#VALUE!</v>
      </c>
      <c r="AT15" s="7" t="e">
        <f t="shared" si="26"/>
        <v>#VALUE!</v>
      </c>
      <c r="AU15" s="7" t="e">
        <f t="shared" si="27"/>
        <v>#VALUE!</v>
      </c>
      <c r="AV15" s="7" t="e">
        <f t="shared" si="28"/>
        <v>#VALUE!</v>
      </c>
      <c r="AW15" s="7" t="e">
        <f t="shared" si="29"/>
        <v>#VALUE!</v>
      </c>
      <c r="AX15" s="7" t="e">
        <f t="shared" si="30"/>
        <v>#VALUE!</v>
      </c>
      <c r="AY15" s="7" t="e">
        <f t="shared" si="31"/>
        <v>#VALUE!</v>
      </c>
      <c r="AZ15" s="7" t="e">
        <f t="shared" si="32"/>
        <v>#VALUE!</v>
      </c>
      <c r="BA15" s="7"/>
    </row>
    <row r="16" spans="1:53" x14ac:dyDescent="0.25">
      <c r="A16" t="s">
        <v>37</v>
      </c>
      <c r="C16" s="1" t="s">
        <v>152</v>
      </c>
      <c r="D16">
        <f>VLOOKUP($C16,'Motor Database'!$A$3:$K$300,4,FALSE)</f>
        <v>17</v>
      </c>
      <c r="E16">
        <f>VLOOKUP($C16,'Motor Database'!$A$3:$K$300,5,FALSE)</f>
        <v>40</v>
      </c>
      <c r="F16">
        <f>VLOOKUP($C16,'Motor Database'!$A$3:$K$300,6,FALSE)</f>
        <v>0.9</v>
      </c>
      <c r="G16">
        <f>VLOOKUP($C16,'Motor Database'!$A$3:$K$300,7,FALSE)</f>
        <v>2</v>
      </c>
      <c r="H16">
        <f>VLOOKUP($C16,'Motor Database'!$A$3:$K$300,8,FALSE)</f>
        <v>35</v>
      </c>
      <c r="I16">
        <f>VLOOKUP($C16,'Motor Database'!$A$3:$K$300,9,FALSE)</f>
        <v>2.8</v>
      </c>
      <c r="J16">
        <f>VLOOKUP($C16,'Motor Database'!$A$3:$K$300,10,FALSE)</f>
        <v>1.1000000000000001</v>
      </c>
      <c r="K16">
        <f>VLOOKUP($C16,'Motor Database'!$A$3:$K$300,11,FALSE)</f>
        <v>71</v>
      </c>
      <c r="L16" s="2">
        <f t="shared" si="36"/>
        <v>4.7673129462279613</v>
      </c>
      <c r="M16" s="2">
        <f t="shared" si="37"/>
        <v>2</v>
      </c>
      <c r="N16" s="2">
        <f t="shared" si="38"/>
        <v>1.1152653920243765</v>
      </c>
      <c r="O16">
        <f t="shared" si="39"/>
        <v>8.8000000000000007</v>
      </c>
      <c r="P16">
        <f t="shared" si="35"/>
        <v>6.5</v>
      </c>
      <c r="Q16">
        <f t="shared" si="33"/>
        <v>260</v>
      </c>
      <c r="R16" s="7">
        <f t="shared" si="1"/>
        <v>40.437548143569906</v>
      </c>
      <c r="S16" s="7">
        <f t="shared" si="2"/>
        <v>40.390424253766064</v>
      </c>
      <c r="T16" s="7">
        <f t="shared" si="3"/>
        <v>17.590295424900827</v>
      </c>
      <c r="U16" s="7">
        <f t="shared" si="4"/>
        <v>25.7317673313749</v>
      </c>
      <c r="V16" s="7">
        <f t="shared" si="5"/>
        <v>40.174428139361524</v>
      </c>
      <c r="W16" s="7">
        <f t="shared" si="6"/>
        <v>37.011791225385025</v>
      </c>
      <c r="X16" s="7" t="e">
        <f t="shared" si="7"/>
        <v>#VALUE!</v>
      </c>
      <c r="Y16" s="7" t="e">
        <f t="shared" si="8"/>
        <v>#VALUE!</v>
      </c>
      <c r="Z16" s="7" t="e">
        <f t="shared" si="9"/>
        <v>#VALUE!</v>
      </c>
      <c r="AA16" s="7" t="e">
        <f t="shared" si="10"/>
        <v>#VALUE!</v>
      </c>
      <c r="AB16" s="7" t="e">
        <f t="shared" si="11"/>
        <v>#VALUE!</v>
      </c>
      <c r="AC16" s="7" t="e">
        <f t="shared" si="12"/>
        <v>#VALUE!</v>
      </c>
      <c r="AD16" s="7" t="e">
        <f t="shared" si="13"/>
        <v>#VALUE!</v>
      </c>
      <c r="AE16" s="7" t="e">
        <f t="shared" si="14"/>
        <v>#VALUE!</v>
      </c>
      <c r="AF16" s="7" t="e">
        <f t="shared" si="15"/>
        <v>#VALUE!</v>
      </c>
      <c r="AG16" s="7" t="e">
        <f t="shared" si="16"/>
        <v>#VALUE!</v>
      </c>
      <c r="AH16" s="7">
        <f>$C$12</f>
        <v>3.183098861837907</v>
      </c>
      <c r="AJ16">
        <f t="shared" si="34"/>
        <v>260</v>
      </c>
      <c r="AK16" s="7">
        <f t="shared" si="17"/>
        <v>22.640526874115984</v>
      </c>
      <c r="AL16" s="7">
        <f t="shared" si="18"/>
        <v>23.440526874115989</v>
      </c>
      <c r="AM16" s="7">
        <f t="shared" si="19"/>
        <v>10.152051435743843</v>
      </c>
      <c r="AN16" s="7">
        <f t="shared" si="20"/>
        <v>16.150580765110668</v>
      </c>
      <c r="AO16" s="7">
        <f t="shared" si="21"/>
        <v>22.568672515535692</v>
      </c>
      <c r="AP16" s="7">
        <f t="shared" si="22"/>
        <v>21.373236916548798</v>
      </c>
      <c r="AQ16" s="7" t="e">
        <f t="shared" si="23"/>
        <v>#VALUE!</v>
      </c>
      <c r="AR16" s="7" t="e">
        <f t="shared" si="24"/>
        <v>#VALUE!</v>
      </c>
      <c r="AS16" s="7" t="e">
        <f t="shared" si="25"/>
        <v>#VALUE!</v>
      </c>
      <c r="AT16" s="7" t="e">
        <f t="shared" si="26"/>
        <v>#VALUE!</v>
      </c>
      <c r="AU16" s="7" t="e">
        <f t="shared" si="27"/>
        <v>#VALUE!</v>
      </c>
      <c r="AV16" s="7" t="e">
        <f t="shared" si="28"/>
        <v>#VALUE!</v>
      </c>
      <c r="AW16" s="7" t="e">
        <f t="shared" si="29"/>
        <v>#VALUE!</v>
      </c>
      <c r="AX16" s="7" t="e">
        <f t="shared" si="30"/>
        <v>#VALUE!</v>
      </c>
      <c r="AY16" s="7" t="e">
        <f t="shared" si="31"/>
        <v>#VALUE!</v>
      </c>
      <c r="AZ16" s="7" t="e">
        <f t="shared" si="32"/>
        <v>#VALUE!</v>
      </c>
      <c r="BA16" s="7"/>
    </row>
    <row r="17" spans="1:53" x14ac:dyDescent="0.25">
      <c r="A17" t="s">
        <v>38</v>
      </c>
      <c r="C17" s="1" t="s">
        <v>153</v>
      </c>
      <c r="D17">
        <f>VLOOKUP($C17,'Motor Database'!$A$3:$K$300,4,FALSE)</f>
        <v>17</v>
      </c>
      <c r="E17">
        <f>VLOOKUP($C17,'Motor Database'!$A$3:$K$300,5,FALSE)</f>
        <v>48</v>
      </c>
      <c r="F17">
        <f>VLOOKUP($C17,'Motor Database'!$A$3:$K$300,6,FALSE)</f>
        <v>0.9</v>
      </c>
      <c r="G17">
        <f>VLOOKUP($C17,'Motor Database'!$A$3:$K$300,7,FALSE)</f>
        <v>2</v>
      </c>
      <c r="H17">
        <f>VLOOKUP($C17,'Motor Database'!$A$3:$K$300,8,FALSE)</f>
        <v>40</v>
      </c>
      <c r="I17">
        <f>VLOOKUP($C17,'Motor Database'!$A$3:$K$300,9,FALSE)</f>
        <v>2</v>
      </c>
      <c r="J17">
        <f>VLOOKUP($C17,'Motor Database'!$A$3:$K$300,10,FALSE)</f>
        <v>1.45</v>
      </c>
      <c r="K17">
        <f>VLOOKUP($C17,'Motor Database'!$A$3:$K$300,11,FALSE)</f>
        <v>68</v>
      </c>
      <c r="L17" s="2">
        <f t="shared" si="36"/>
        <v>4.1522739926869985</v>
      </c>
      <c r="M17" s="2">
        <f t="shared" si="37"/>
        <v>2</v>
      </c>
      <c r="N17" s="2">
        <f t="shared" si="38"/>
        <v>1.0681415022205296</v>
      </c>
      <c r="O17">
        <f t="shared" si="39"/>
        <v>11.6</v>
      </c>
      <c r="P17">
        <f t="shared" si="35"/>
        <v>7</v>
      </c>
      <c r="Q17">
        <f t="shared" si="33"/>
        <v>280</v>
      </c>
      <c r="R17" s="7">
        <f t="shared" si="1"/>
        <v>37.385358843340441</v>
      </c>
      <c r="S17" s="7">
        <f t="shared" si="2"/>
        <v>36.394653054185916</v>
      </c>
      <c r="T17" s="7">
        <f t="shared" si="3"/>
        <v>16.005042517857778</v>
      </c>
      <c r="U17" s="7">
        <f t="shared" si="4"/>
        <v>23.475000846301814</v>
      </c>
      <c r="V17" s="7">
        <f t="shared" si="5"/>
        <v>36.424731612498647</v>
      </c>
      <c r="W17" s="7">
        <f t="shared" si="6"/>
        <v>37.011791225385025</v>
      </c>
      <c r="X17" s="7" t="e">
        <f t="shared" si="7"/>
        <v>#VALUE!</v>
      </c>
      <c r="Y17" s="7" t="e">
        <f t="shared" si="8"/>
        <v>#VALUE!</v>
      </c>
      <c r="Z17" s="7" t="e">
        <f t="shared" si="9"/>
        <v>#VALUE!</v>
      </c>
      <c r="AA17" s="7" t="e">
        <f t="shared" si="10"/>
        <v>#VALUE!</v>
      </c>
      <c r="AB17" s="7" t="e">
        <f t="shared" si="11"/>
        <v>#VALUE!</v>
      </c>
      <c r="AC17" s="7" t="e">
        <f t="shared" si="12"/>
        <v>#VALUE!</v>
      </c>
      <c r="AD17" s="7" t="e">
        <f t="shared" si="13"/>
        <v>#VALUE!</v>
      </c>
      <c r="AE17" s="7" t="e">
        <f t="shared" si="14"/>
        <v>#VALUE!</v>
      </c>
      <c r="AF17" s="7" t="e">
        <f t="shared" si="15"/>
        <v>#VALUE!</v>
      </c>
      <c r="AG17" s="7" t="e">
        <f t="shared" si="16"/>
        <v>#VALUE!</v>
      </c>
      <c r="AH17" s="7">
        <f>$C$12</f>
        <v>3.183098861837907</v>
      </c>
      <c r="AJ17">
        <f t="shared" si="34"/>
        <v>280</v>
      </c>
      <c r="AK17" s="7">
        <f t="shared" si="17"/>
        <v>21.819647982501536</v>
      </c>
      <c r="AL17" s="7">
        <f t="shared" si="18"/>
        <v>21.826880954318252</v>
      </c>
      <c r="AM17" s="7">
        <f t="shared" si="19"/>
        <v>9.6346169419109042</v>
      </c>
      <c r="AN17" s="7">
        <f t="shared" si="20"/>
        <v>15.160152869768721</v>
      </c>
      <c r="AO17" s="7">
        <f t="shared" si="21"/>
        <v>21.322279491462044</v>
      </c>
      <c r="AP17" s="7">
        <f t="shared" si="22"/>
        <v>22.595178217821783</v>
      </c>
      <c r="AQ17" s="7" t="e">
        <f t="shared" si="23"/>
        <v>#VALUE!</v>
      </c>
      <c r="AR17" s="7" t="e">
        <f t="shared" si="24"/>
        <v>#VALUE!</v>
      </c>
      <c r="AS17" s="7" t="e">
        <f t="shared" si="25"/>
        <v>#VALUE!</v>
      </c>
      <c r="AT17" s="7" t="e">
        <f t="shared" si="26"/>
        <v>#VALUE!</v>
      </c>
      <c r="AU17" s="7" t="e">
        <f t="shared" si="27"/>
        <v>#VALUE!</v>
      </c>
      <c r="AV17" s="7" t="e">
        <f t="shared" si="28"/>
        <v>#VALUE!</v>
      </c>
      <c r="AW17" s="7" t="e">
        <f t="shared" si="29"/>
        <v>#VALUE!</v>
      </c>
      <c r="AX17" s="7" t="e">
        <f t="shared" si="30"/>
        <v>#VALUE!</v>
      </c>
      <c r="AY17" s="7" t="e">
        <f t="shared" si="31"/>
        <v>#VALUE!</v>
      </c>
      <c r="AZ17" s="7" t="e">
        <f t="shared" si="32"/>
        <v>#VALUE!</v>
      </c>
      <c r="BA17" s="7"/>
    </row>
    <row r="18" spans="1:53" x14ac:dyDescent="0.25">
      <c r="A18" t="s">
        <v>39</v>
      </c>
      <c r="C18" s="1" t="s">
        <v>160</v>
      </c>
      <c r="D18">
        <f>VLOOKUP($C18,'Motor Database'!$A$3:$K$300,4,FALSE)</f>
        <v>23</v>
      </c>
      <c r="E18">
        <f>VLOOKUP($C18,'Motor Database'!$A$3:$K$300,5,FALSE)</f>
        <v>41</v>
      </c>
      <c r="F18">
        <f>VLOOKUP($C18,'Motor Database'!$A$3:$K$300,6,FALSE)</f>
        <v>0.9</v>
      </c>
      <c r="G18">
        <f>VLOOKUP($C18,'Motor Database'!$A$3:$K$300,7,FALSE)</f>
        <v>2.8</v>
      </c>
      <c r="H18">
        <f>VLOOKUP($C18,'Motor Database'!$A$3:$K$300,8,FALSE)</f>
        <v>60</v>
      </c>
      <c r="I18">
        <f>VLOOKUP($C18,'Motor Database'!$A$3:$K$300,9,FALSE)</f>
        <v>1.4</v>
      </c>
      <c r="J18">
        <f>VLOOKUP($C18,'Motor Database'!$A$3:$K$300,10,FALSE)</f>
        <v>0.7</v>
      </c>
      <c r="K18">
        <f>VLOOKUP($C18,'Motor Database'!$A$3:$K$300,11,FALSE)</f>
        <v>120</v>
      </c>
      <c r="L18" s="2">
        <f t="shared" si="36"/>
        <v>5.9761430466719681</v>
      </c>
      <c r="M18" s="2">
        <f t="shared" si="37"/>
        <v>2.8</v>
      </c>
      <c r="N18" s="2">
        <f t="shared" si="38"/>
        <v>1.8849555921538759</v>
      </c>
      <c r="O18">
        <f t="shared" si="39"/>
        <v>10.975999999999997</v>
      </c>
      <c r="P18">
        <f t="shared" si="35"/>
        <v>7.5</v>
      </c>
      <c r="Q18">
        <f t="shared" si="33"/>
        <v>300</v>
      </c>
      <c r="R18" s="7">
        <f t="shared" si="1"/>
        <v>33.618702337604496</v>
      </c>
      <c r="S18" s="7">
        <f t="shared" si="2"/>
        <v>32.766196693421634</v>
      </c>
      <c r="T18" s="7">
        <f t="shared" si="3"/>
        <v>14.614891177466223</v>
      </c>
      <c r="U18" s="7">
        <f t="shared" si="4"/>
        <v>21.47901442147452</v>
      </c>
      <c r="V18" s="7">
        <f t="shared" si="5"/>
        <v>33.127034572964277</v>
      </c>
      <c r="W18" s="7">
        <f t="shared" si="6"/>
        <v>37.011791225385025</v>
      </c>
      <c r="X18" s="7" t="e">
        <f t="shared" si="7"/>
        <v>#VALUE!</v>
      </c>
      <c r="Y18" s="7" t="e">
        <f t="shared" si="8"/>
        <v>#VALUE!</v>
      </c>
      <c r="Z18" s="7" t="e">
        <f t="shared" si="9"/>
        <v>#VALUE!</v>
      </c>
      <c r="AA18" s="7" t="e">
        <f t="shared" si="10"/>
        <v>#VALUE!</v>
      </c>
      <c r="AB18" s="7" t="e">
        <f t="shared" si="11"/>
        <v>#VALUE!</v>
      </c>
      <c r="AC18" s="7" t="e">
        <f t="shared" si="12"/>
        <v>#VALUE!</v>
      </c>
      <c r="AD18" s="7" t="e">
        <f t="shared" si="13"/>
        <v>#VALUE!</v>
      </c>
      <c r="AE18" s="7" t="e">
        <f t="shared" si="14"/>
        <v>#VALUE!</v>
      </c>
      <c r="AF18" s="7" t="e">
        <f t="shared" si="15"/>
        <v>#VALUE!</v>
      </c>
      <c r="AG18" s="7" t="e">
        <f t="shared" si="16"/>
        <v>#VALUE!</v>
      </c>
      <c r="AH18" s="7">
        <f>$C$12</f>
        <v>3.183098861837907</v>
      </c>
      <c r="AJ18">
        <f t="shared" si="34"/>
        <v>300</v>
      </c>
      <c r="AK18" s="7">
        <f t="shared" si="17"/>
        <v>20.368175123992671</v>
      </c>
      <c r="AL18" s="7">
        <f t="shared" si="18"/>
        <v>20.344246470768248</v>
      </c>
      <c r="AM18" s="7">
        <f t="shared" si="19"/>
        <v>9.1894187644790044</v>
      </c>
      <c r="AN18" s="7">
        <f t="shared" si="20"/>
        <v>14.309383706537954</v>
      </c>
      <c r="AO18" s="7">
        <f t="shared" si="21"/>
        <v>20.234844651066602</v>
      </c>
      <c r="AP18" s="7">
        <f t="shared" si="22"/>
        <v>23.817119519094764</v>
      </c>
      <c r="AQ18" s="7" t="e">
        <f t="shared" si="23"/>
        <v>#VALUE!</v>
      </c>
      <c r="AR18" s="7" t="e">
        <f t="shared" si="24"/>
        <v>#VALUE!</v>
      </c>
      <c r="AS18" s="7" t="e">
        <f t="shared" si="25"/>
        <v>#VALUE!</v>
      </c>
      <c r="AT18" s="7" t="e">
        <f t="shared" si="26"/>
        <v>#VALUE!</v>
      </c>
      <c r="AU18" s="7" t="e">
        <f t="shared" si="27"/>
        <v>#VALUE!</v>
      </c>
      <c r="AV18" s="7" t="e">
        <f t="shared" si="28"/>
        <v>#VALUE!</v>
      </c>
      <c r="AW18" s="7" t="e">
        <f t="shared" si="29"/>
        <v>#VALUE!</v>
      </c>
      <c r="AX18" s="7" t="e">
        <f t="shared" si="30"/>
        <v>#VALUE!</v>
      </c>
      <c r="AY18" s="7" t="e">
        <f t="shared" si="31"/>
        <v>#VALUE!</v>
      </c>
      <c r="AZ18" s="7" t="e">
        <f t="shared" si="32"/>
        <v>#VALUE!</v>
      </c>
      <c r="BA18" s="7"/>
    </row>
    <row r="19" spans="1:53" x14ac:dyDescent="0.25">
      <c r="A19" t="s">
        <v>40</v>
      </c>
      <c r="C19" s="1" t="s">
        <v>158</v>
      </c>
      <c r="D19">
        <f>VLOOKUP($C19,'Motor Database'!$A$3:$K$300,4,FALSE)</f>
        <v>23</v>
      </c>
      <c r="E19">
        <f>VLOOKUP($C19,'Motor Database'!$A$3:$K$300,5,FALSE)</f>
        <v>41</v>
      </c>
      <c r="F19">
        <f>VLOOKUP($C19,'Motor Database'!$A$3:$K$300,6,FALSE)</f>
        <v>1.8</v>
      </c>
      <c r="G19">
        <f>VLOOKUP($C19,'Motor Database'!$A$3:$K$300,7,FALSE)</f>
        <v>2.8</v>
      </c>
      <c r="H19">
        <f>VLOOKUP($C19,'Motor Database'!$A$3:$K$300,8,FALSE)</f>
        <v>55</v>
      </c>
      <c r="I19">
        <f>VLOOKUP($C19,'Motor Database'!$A$3:$K$300,9,FALSE)</f>
        <v>1.4</v>
      </c>
      <c r="J19">
        <f>VLOOKUP($C19,'Motor Database'!$A$3:$K$300,10,FALSE)</f>
        <v>0.7</v>
      </c>
      <c r="K19">
        <f>VLOOKUP($C19,'Motor Database'!$A$3:$K$300,11,FALSE)</f>
        <v>120</v>
      </c>
      <c r="L19" s="2">
        <f t="shared" si="36"/>
        <v>5.9761430466719681</v>
      </c>
      <c r="M19" s="2">
        <f t="shared" si="37"/>
        <v>2.8</v>
      </c>
      <c r="N19" s="2">
        <f t="shared" si="38"/>
        <v>1.8849555921538759</v>
      </c>
      <c r="O19">
        <f t="shared" si="39"/>
        <v>10.975999999999997</v>
      </c>
      <c r="P19">
        <f t="shared" si="35"/>
        <v>8</v>
      </c>
      <c r="Q19">
        <f t="shared" si="33"/>
        <v>320</v>
      </c>
      <c r="R19" s="7">
        <f t="shared" si="1"/>
        <v>30.249142505526294</v>
      </c>
      <c r="S19" s="7">
        <f t="shared" si="2"/>
        <v>29.511896608337047</v>
      </c>
      <c r="T19" s="7">
        <f t="shared" si="3"/>
        <v>13.385911758639459</v>
      </c>
      <c r="U19" s="7">
        <f t="shared" si="4"/>
        <v>19.701075475646945</v>
      </c>
      <c r="V19" s="7">
        <f t="shared" si="5"/>
        <v>30.204254848488436</v>
      </c>
      <c r="W19" s="7">
        <f t="shared" si="6"/>
        <v>37.011791225385025</v>
      </c>
      <c r="X19" s="7" t="e">
        <f t="shared" si="7"/>
        <v>#VALUE!</v>
      </c>
      <c r="Y19" s="7" t="e">
        <f t="shared" si="8"/>
        <v>#VALUE!</v>
      </c>
      <c r="Z19" s="7" t="e">
        <f t="shared" si="9"/>
        <v>#VALUE!</v>
      </c>
      <c r="AA19" s="7" t="e">
        <f t="shared" si="10"/>
        <v>#VALUE!</v>
      </c>
      <c r="AB19" s="7" t="e">
        <f t="shared" si="11"/>
        <v>#VALUE!</v>
      </c>
      <c r="AC19" s="7" t="e">
        <f t="shared" si="12"/>
        <v>#VALUE!</v>
      </c>
      <c r="AD19" s="7" t="e">
        <f t="shared" si="13"/>
        <v>#VALUE!</v>
      </c>
      <c r="AE19" s="7" t="e">
        <f t="shared" si="14"/>
        <v>#VALUE!</v>
      </c>
      <c r="AF19" s="7" t="e">
        <f t="shared" si="15"/>
        <v>#VALUE!</v>
      </c>
      <c r="AG19" s="7" t="e">
        <f t="shared" si="16"/>
        <v>#VALUE!</v>
      </c>
      <c r="AH19" s="7">
        <f>$C$12</f>
        <v>3.183098861837907</v>
      </c>
      <c r="AJ19">
        <f t="shared" si="34"/>
        <v>320</v>
      </c>
      <c r="AK19" s="7">
        <f t="shared" si="17"/>
        <v>19.050964393973238</v>
      </c>
      <c r="AL19" s="7">
        <f t="shared" si="18"/>
        <v>19.002835293843447</v>
      </c>
      <c r="AM19" s="7">
        <f t="shared" si="19"/>
        <v>8.7990280666147918</v>
      </c>
      <c r="AN19" s="7">
        <f t="shared" si="20"/>
        <v>13.565857468801319</v>
      </c>
      <c r="AO19" s="7">
        <f t="shared" si="21"/>
        <v>19.267866629662677</v>
      </c>
      <c r="AP19" s="7">
        <f t="shared" si="22"/>
        <v>25.039060820367752</v>
      </c>
      <c r="AQ19" s="7" t="e">
        <f t="shared" si="23"/>
        <v>#VALUE!</v>
      </c>
      <c r="AR19" s="7" t="e">
        <f t="shared" si="24"/>
        <v>#VALUE!</v>
      </c>
      <c r="AS19" s="7" t="e">
        <f t="shared" si="25"/>
        <v>#VALUE!</v>
      </c>
      <c r="AT19" s="7" t="e">
        <f t="shared" si="26"/>
        <v>#VALUE!</v>
      </c>
      <c r="AU19" s="7" t="e">
        <f t="shared" si="27"/>
        <v>#VALUE!</v>
      </c>
      <c r="AV19" s="7" t="e">
        <f t="shared" si="28"/>
        <v>#VALUE!</v>
      </c>
      <c r="AW19" s="7" t="e">
        <f t="shared" si="29"/>
        <v>#VALUE!</v>
      </c>
      <c r="AX19" s="7" t="e">
        <f t="shared" si="30"/>
        <v>#VALUE!</v>
      </c>
      <c r="AY19" s="7" t="e">
        <f t="shared" si="31"/>
        <v>#VALUE!</v>
      </c>
      <c r="AZ19" s="7" t="e">
        <f t="shared" si="32"/>
        <v>#VALUE!</v>
      </c>
      <c r="BA19" s="7"/>
    </row>
    <row r="20" spans="1:53" x14ac:dyDescent="0.25">
      <c r="A20" t="s">
        <v>41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6"/>
        <v>#N/A</v>
      </c>
      <c r="M20" s="2" t="e">
        <f t="shared" si="37"/>
        <v>#N/A</v>
      </c>
      <c r="N20" s="2" t="e">
        <f t="shared" si="38"/>
        <v>#N/A</v>
      </c>
      <c r="O20" t="e">
        <f t="shared" si="39"/>
        <v>#N/A</v>
      </c>
      <c r="P20">
        <f t="shared" si="35"/>
        <v>8.5</v>
      </c>
      <c r="Q20">
        <f t="shared" si="33"/>
        <v>340</v>
      </c>
      <c r="R20" s="7">
        <f t="shared" si="1"/>
        <v>27.217028292056682</v>
      </c>
      <c r="S20" s="7">
        <f t="shared" si="2"/>
        <v>26.576717422362371</v>
      </c>
      <c r="T20" s="7">
        <f t="shared" si="3"/>
        <v>12.291611030791557</v>
      </c>
      <c r="U20" s="7">
        <f t="shared" si="4"/>
        <v>18.107304336475561</v>
      </c>
      <c r="V20" s="7">
        <f t="shared" si="5"/>
        <v>27.595894570963335</v>
      </c>
      <c r="W20" s="7">
        <f t="shared" si="6"/>
        <v>37.011791225385025</v>
      </c>
      <c r="X20" s="7" t="e">
        <f t="shared" si="7"/>
        <v>#VALUE!</v>
      </c>
      <c r="Y20" s="7" t="e">
        <f t="shared" si="8"/>
        <v>#VALUE!</v>
      </c>
      <c r="Z20" s="7" t="e">
        <f t="shared" si="9"/>
        <v>#VALUE!</v>
      </c>
      <c r="AA20" s="7" t="e">
        <f t="shared" si="10"/>
        <v>#VALUE!</v>
      </c>
      <c r="AB20" s="7" t="e">
        <f t="shared" si="11"/>
        <v>#VALUE!</v>
      </c>
      <c r="AC20" s="7" t="e">
        <f t="shared" si="12"/>
        <v>#VALUE!</v>
      </c>
      <c r="AD20" s="7" t="e">
        <f t="shared" si="13"/>
        <v>#VALUE!</v>
      </c>
      <c r="AE20" s="7" t="e">
        <f t="shared" si="14"/>
        <v>#VALUE!</v>
      </c>
      <c r="AF20" s="7" t="e">
        <f t="shared" si="15"/>
        <v>#VALUE!</v>
      </c>
      <c r="AG20" s="7" t="e">
        <f t="shared" si="16"/>
        <v>#VALUE!</v>
      </c>
      <c r="AH20" s="7">
        <f>$C$12</f>
        <v>3.183098861837907</v>
      </c>
      <c r="AJ20">
        <f t="shared" si="34"/>
        <v>340</v>
      </c>
      <c r="AK20" s="7">
        <f t="shared" si="17"/>
        <v>17.836810583811619</v>
      </c>
      <c r="AL20" s="7">
        <f t="shared" si="18"/>
        <v>17.77035732463818</v>
      </c>
      <c r="AM20" s="7">
        <f t="shared" si="19"/>
        <v>8.4508440517590344</v>
      </c>
      <c r="AN20" s="7">
        <f t="shared" si="20"/>
        <v>12.905746145787651</v>
      </c>
      <c r="AO20" s="7">
        <f t="shared" si="21"/>
        <v>18.393447094448774</v>
      </c>
      <c r="AP20" s="7">
        <f t="shared" si="22"/>
        <v>26.261002121640736</v>
      </c>
      <c r="AQ20" s="7" t="e">
        <f t="shared" si="23"/>
        <v>#VALUE!</v>
      </c>
      <c r="AR20" s="7" t="e">
        <f t="shared" si="24"/>
        <v>#VALUE!</v>
      </c>
      <c r="AS20" s="7" t="e">
        <f t="shared" si="25"/>
        <v>#VALUE!</v>
      </c>
      <c r="AT20" s="7" t="e">
        <f t="shared" si="26"/>
        <v>#VALUE!</v>
      </c>
      <c r="AU20" s="7" t="e">
        <f t="shared" si="27"/>
        <v>#VALUE!</v>
      </c>
      <c r="AV20" s="7" t="e">
        <f t="shared" si="28"/>
        <v>#VALUE!</v>
      </c>
      <c r="AW20" s="7" t="e">
        <f t="shared" si="29"/>
        <v>#VALUE!</v>
      </c>
      <c r="AX20" s="7" t="e">
        <f t="shared" si="30"/>
        <v>#VALUE!</v>
      </c>
      <c r="AY20" s="7" t="e">
        <f t="shared" si="31"/>
        <v>#VALUE!</v>
      </c>
      <c r="AZ20" s="7" t="e">
        <f t="shared" si="32"/>
        <v>#VALUE!</v>
      </c>
      <c r="BA20" s="7"/>
    </row>
    <row r="21" spans="1:53" x14ac:dyDescent="0.25">
      <c r="A21" t="s">
        <v>42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6"/>
        <v>#N/A</v>
      </c>
      <c r="M21" s="2" t="e">
        <f t="shared" si="37"/>
        <v>#N/A</v>
      </c>
      <c r="N21" s="2" t="e">
        <f t="shared" si="38"/>
        <v>#N/A</v>
      </c>
      <c r="P21">
        <f t="shared" si="35"/>
        <v>9</v>
      </c>
      <c r="Q21">
        <f t="shared" si="33"/>
        <v>360</v>
      </c>
      <c r="R21" s="7">
        <f t="shared" si="1"/>
        <v>24.474086471004064</v>
      </c>
      <c r="S21" s="7">
        <f t="shared" si="2"/>
        <v>23.915912954210157</v>
      </c>
      <c r="T21" s="7">
        <f t="shared" si="3"/>
        <v>11.311000695785811</v>
      </c>
      <c r="U21" s="7">
        <f t="shared" si="4"/>
        <v>16.670494560180387</v>
      </c>
      <c r="V21" s="7">
        <f t="shared" si="5"/>
        <v>25.253807671891938</v>
      </c>
      <c r="W21" s="7">
        <f t="shared" si="6"/>
        <v>37.011791225385025</v>
      </c>
      <c r="X21" s="7" t="e">
        <f t="shared" si="7"/>
        <v>#VALUE!</v>
      </c>
      <c r="Y21" s="7" t="e">
        <f t="shared" si="8"/>
        <v>#VALUE!</v>
      </c>
      <c r="Z21" s="7" t="e">
        <f t="shared" si="9"/>
        <v>#VALUE!</v>
      </c>
      <c r="AA21" s="7" t="e">
        <f t="shared" si="10"/>
        <v>#VALUE!</v>
      </c>
      <c r="AB21" s="7" t="e">
        <f t="shared" si="11"/>
        <v>#VALUE!</v>
      </c>
      <c r="AC21" s="7" t="e">
        <f t="shared" si="12"/>
        <v>#VALUE!</v>
      </c>
      <c r="AD21" s="7" t="e">
        <f t="shared" si="13"/>
        <v>#VALUE!</v>
      </c>
      <c r="AE21" s="7" t="e">
        <f t="shared" si="14"/>
        <v>#VALUE!</v>
      </c>
      <c r="AF21" s="7" t="e">
        <f t="shared" si="15"/>
        <v>#VALUE!</v>
      </c>
      <c r="AG21" s="7" t="e">
        <f t="shared" si="16"/>
        <v>#VALUE!</v>
      </c>
      <c r="AH21" s="7">
        <f>$C$12</f>
        <v>3.183098861837907</v>
      </c>
      <c r="AJ21">
        <f t="shared" si="34"/>
        <v>360</v>
      </c>
      <c r="AK21" s="7">
        <f t="shared" si="17"/>
        <v>16.702465299989811</v>
      </c>
      <c r="AL21" s="7">
        <f t="shared" si="18"/>
        <v>16.622611879400139</v>
      </c>
      <c r="AM21" s="7">
        <f t="shared" si="19"/>
        <v>8.1355917186504527</v>
      </c>
      <c r="AN21" s="7">
        <f t="shared" si="20"/>
        <v>12.311256855685716</v>
      </c>
      <c r="AO21" s="7">
        <f t="shared" si="21"/>
        <v>17.591022999313644</v>
      </c>
      <c r="AP21" s="7">
        <f t="shared" si="22"/>
        <v>27.482943422913724</v>
      </c>
      <c r="AQ21" s="7" t="e">
        <f t="shared" si="23"/>
        <v>#VALUE!</v>
      </c>
      <c r="AR21" s="7" t="e">
        <f t="shared" si="24"/>
        <v>#VALUE!</v>
      </c>
      <c r="AS21" s="7" t="e">
        <f t="shared" si="25"/>
        <v>#VALUE!</v>
      </c>
      <c r="AT21" s="7" t="e">
        <f t="shared" si="26"/>
        <v>#VALUE!</v>
      </c>
      <c r="AU21" s="7" t="e">
        <f t="shared" si="27"/>
        <v>#VALUE!</v>
      </c>
      <c r="AV21" s="7" t="e">
        <f t="shared" si="28"/>
        <v>#VALUE!</v>
      </c>
      <c r="AW21" s="7" t="e">
        <f t="shared" si="29"/>
        <v>#VALUE!</v>
      </c>
      <c r="AX21" s="7" t="e">
        <f t="shared" si="30"/>
        <v>#VALUE!</v>
      </c>
      <c r="AY21" s="7" t="e">
        <f t="shared" si="31"/>
        <v>#VALUE!</v>
      </c>
      <c r="AZ21" s="7" t="e">
        <f t="shared" si="32"/>
        <v>#VALUE!</v>
      </c>
      <c r="BA21" s="7"/>
    </row>
    <row r="22" spans="1:53" x14ac:dyDescent="0.25">
      <c r="A22" t="s">
        <v>43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6"/>
        <v>#N/A</v>
      </c>
      <c r="M22" s="2" t="e">
        <f t="shared" si="37"/>
        <v>#N/A</v>
      </c>
      <c r="N22" s="2" t="e">
        <f t="shared" si="38"/>
        <v>#N/A</v>
      </c>
      <c r="P22">
        <f t="shared" si="35"/>
        <v>9.5</v>
      </c>
      <c r="Q22">
        <f t="shared" si="33"/>
        <v>380</v>
      </c>
      <c r="R22" s="7">
        <f t="shared" si="1"/>
        <v>21.980832359323699</v>
      </c>
      <c r="S22" s="7">
        <f t="shared" si="2"/>
        <v>21.492729051333647</v>
      </c>
      <c r="T22" s="7">
        <f t="shared" si="3"/>
        <v>10.427238181600597</v>
      </c>
      <c r="U22" s="7">
        <f t="shared" si="4"/>
        <v>15.368547020482437</v>
      </c>
      <c r="V22" s="7">
        <f t="shared" si="5"/>
        <v>23.139200649257095</v>
      </c>
      <c r="W22" s="7">
        <f t="shared" si="6"/>
        <v>37.011791225385025</v>
      </c>
      <c r="X22" s="7" t="e">
        <f t="shared" si="7"/>
        <v>#VALUE!</v>
      </c>
      <c r="Y22" s="7" t="e">
        <f t="shared" si="8"/>
        <v>#VALUE!</v>
      </c>
      <c r="Z22" s="7" t="e">
        <f t="shared" si="9"/>
        <v>#VALUE!</v>
      </c>
      <c r="AA22" s="7" t="e">
        <f t="shared" si="10"/>
        <v>#VALUE!</v>
      </c>
      <c r="AB22" s="7" t="e">
        <f t="shared" si="11"/>
        <v>#VALUE!</v>
      </c>
      <c r="AC22" s="7" t="e">
        <f t="shared" si="12"/>
        <v>#VALUE!</v>
      </c>
      <c r="AD22" s="7" t="e">
        <f t="shared" si="13"/>
        <v>#VALUE!</v>
      </c>
      <c r="AE22" s="7" t="e">
        <f t="shared" si="14"/>
        <v>#VALUE!</v>
      </c>
      <c r="AF22" s="7" t="e">
        <f t="shared" si="15"/>
        <v>#VALUE!</v>
      </c>
      <c r="AG22" s="7" t="e">
        <f t="shared" si="16"/>
        <v>#VALUE!</v>
      </c>
      <c r="AH22" s="7">
        <f>$C$12</f>
        <v>3.183098861837907</v>
      </c>
      <c r="AJ22">
        <f t="shared" si="34"/>
        <v>380</v>
      </c>
      <c r="AK22" s="7">
        <f t="shared" si="17"/>
        <v>15.630390748675772</v>
      </c>
      <c r="AL22" s="7">
        <f t="shared" si="18"/>
        <v>15.5412438476913</v>
      </c>
      <c r="AM22" s="7">
        <f t="shared" si="19"/>
        <v>7.8463346337483237</v>
      </c>
      <c r="AN22" s="7">
        <f t="shared" si="20"/>
        <v>11.768915592742694</v>
      </c>
      <c r="AO22" s="7">
        <f t="shared" si="21"/>
        <v>16.845206727186266</v>
      </c>
      <c r="AP22" s="7">
        <f t="shared" si="22"/>
        <v>28.704884724186702</v>
      </c>
      <c r="AQ22" s="7" t="e">
        <f t="shared" si="23"/>
        <v>#VALUE!</v>
      </c>
      <c r="AR22" s="7" t="e">
        <f t="shared" si="24"/>
        <v>#VALUE!</v>
      </c>
      <c r="AS22" s="7" t="e">
        <f t="shared" si="25"/>
        <v>#VALUE!</v>
      </c>
      <c r="AT22" s="7" t="e">
        <f t="shared" si="26"/>
        <v>#VALUE!</v>
      </c>
      <c r="AU22" s="7" t="e">
        <f t="shared" si="27"/>
        <v>#VALUE!</v>
      </c>
      <c r="AV22" s="7" t="e">
        <f t="shared" si="28"/>
        <v>#VALUE!</v>
      </c>
      <c r="AW22" s="7" t="e">
        <f t="shared" si="29"/>
        <v>#VALUE!</v>
      </c>
      <c r="AX22" s="7" t="e">
        <f t="shared" si="30"/>
        <v>#VALUE!</v>
      </c>
      <c r="AY22" s="7" t="e">
        <f t="shared" si="31"/>
        <v>#VALUE!</v>
      </c>
      <c r="AZ22" s="7" t="e">
        <f t="shared" si="32"/>
        <v>#VALUE!</v>
      </c>
      <c r="BA22" s="7"/>
    </row>
    <row r="23" spans="1:53" x14ac:dyDescent="0.25">
      <c r="A23" t="s">
        <v>44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6"/>
        <v>#N/A</v>
      </c>
      <c r="M23" s="2" t="e">
        <f t="shared" si="37"/>
        <v>#N/A</v>
      </c>
      <c r="N23" s="2" t="e">
        <f t="shared" si="38"/>
        <v>#N/A</v>
      </c>
      <c r="P23">
        <f t="shared" si="35"/>
        <v>10</v>
      </c>
      <c r="Q23">
        <f t="shared" si="33"/>
        <v>400</v>
      </c>
      <c r="R23" s="7">
        <f t="shared" si="1"/>
        <v>19.704656850586041</v>
      </c>
      <c r="S23" s="7">
        <f t="shared" si="2"/>
        <v>19.276695556118799</v>
      </c>
      <c r="T23" s="7">
        <f t="shared" si="3"/>
        <v>9.6266512021490289</v>
      </c>
      <c r="U23" s="7">
        <f t="shared" si="4"/>
        <v>14.183325171308484</v>
      </c>
      <c r="V23" s="7">
        <f t="shared" si="5"/>
        <v>21.220466778962134</v>
      </c>
      <c r="W23" s="7">
        <f t="shared" si="6"/>
        <v>37.011791225385025</v>
      </c>
      <c r="X23" s="7" t="e">
        <f t="shared" si="7"/>
        <v>#VALUE!</v>
      </c>
      <c r="Y23" s="7" t="e">
        <f t="shared" si="8"/>
        <v>#VALUE!</v>
      </c>
      <c r="Z23" s="7" t="e">
        <f t="shared" si="9"/>
        <v>#VALUE!</v>
      </c>
      <c r="AA23" s="7" t="e">
        <f t="shared" si="10"/>
        <v>#VALUE!</v>
      </c>
      <c r="AB23" s="7" t="e">
        <f t="shared" si="11"/>
        <v>#VALUE!</v>
      </c>
      <c r="AC23" s="7" t="e">
        <f t="shared" si="12"/>
        <v>#VALUE!</v>
      </c>
      <c r="AD23" s="7" t="e">
        <f t="shared" si="13"/>
        <v>#VALUE!</v>
      </c>
      <c r="AE23" s="7" t="e">
        <f t="shared" si="14"/>
        <v>#VALUE!</v>
      </c>
      <c r="AF23" s="7" t="e">
        <f t="shared" si="15"/>
        <v>#VALUE!</v>
      </c>
      <c r="AG23" s="7" t="e">
        <f t="shared" si="16"/>
        <v>#VALUE!</v>
      </c>
      <c r="AH23" s="7">
        <f>$C$12</f>
        <v>3.183098861837907</v>
      </c>
      <c r="AJ23">
        <f t="shared" si="34"/>
        <v>400</v>
      </c>
      <c r="AK23" s="7">
        <f t="shared" si="17"/>
        <v>14.60720901999575</v>
      </c>
      <c r="AL23" s="7">
        <f t="shared" si="18"/>
        <v>14.512182786487534</v>
      </c>
      <c r="AM23" s="7">
        <f t="shared" si="19"/>
        <v>7.5778111246265718</v>
      </c>
      <c r="AN23" s="7">
        <f t="shared" si="20"/>
        <v>11.268389676215534</v>
      </c>
      <c r="AO23" s="7">
        <f t="shared" si="21"/>
        <v>16.144326793575289</v>
      </c>
      <c r="AP23" s="7">
        <f t="shared" si="22"/>
        <v>29.92682602545969</v>
      </c>
      <c r="AQ23" s="7" t="e">
        <f t="shared" si="23"/>
        <v>#VALUE!</v>
      </c>
      <c r="AR23" s="7" t="e">
        <f t="shared" si="24"/>
        <v>#VALUE!</v>
      </c>
      <c r="AS23" s="7" t="e">
        <f t="shared" si="25"/>
        <v>#VALUE!</v>
      </c>
      <c r="AT23" s="7" t="e">
        <f t="shared" si="26"/>
        <v>#VALUE!</v>
      </c>
      <c r="AU23" s="7" t="e">
        <f t="shared" si="27"/>
        <v>#VALUE!</v>
      </c>
      <c r="AV23" s="7" t="e">
        <f t="shared" si="28"/>
        <v>#VALUE!</v>
      </c>
      <c r="AW23" s="7" t="e">
        <f t="shared" si="29"/>
        <v>#VALUE!</v>
      </c>
      <c r="AX23" s="7" t="e">
        <f t="shared" si="30"/>
        <v>#VALUE!</v>
      </c>
      <c r="AY23" s="7" t="e">
        <f t="shared" si="31"/>
        <v>#VALUE!</v>
      </c>
      <c r="AZ23" s="7" t="e">
        <f t="shared" si="32"/>
        <v>#VALUE!</v>
      </c>
      <c r="BA23" s="7"/>
    </row>
    <row r="24" spans="1:53" x14ac:dyDescent="0.25">
      <c r="A24" t="s">
        <v>45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6"/>
        <v>#N/A</v>
      </c>
      <c r="M24" s="2" t="e">
        <f t="shared" si="37"/>
        <v>#N/A</v>
      </c>
      <c r="N24" s="2" t="e">
        <f t="shared" si="38"/>
        <v>#N/A</v>
      </c>
      <c r="P24">
        <f t="shared" si="35"/>
        <v>10.5</v>
      </c>
      <c r="Q24">
        <f t="shared" si="33"/>
        <v>420</v>
      </c>
      <c r="R24" s="7">
        <f t="shared" si="1"/>
        <v>17.618392269053999</v>
      </c>
      <c r="S24" s="7">
        <f t="shared" si="2"/>
        <v>17.242338359490187</v>
      </c>
      <c r="T24" s="7">
        <f t="shared" si="3"/>
        <v>8.8980253507634615</v>
      </c>
      <c r="U24" s="7">
        <f t="shared" si="4"/>
        <v>13.099804992796289</v>
      </c>
      <c r="V24" s="7">
        <f t="shared" si="5"/>
        <v>19.471595528268896</v>
      </c>
      <c r="W24" s="7">
        <f t="shared" si="6"/>
        <v>36.868188743498152</v>
      </c>
      <c r="X24" s="7" t="e">
        <f t="shared" si="7"/>
        <v>#VALUE!</v>
      </c>
      <c r="Y24" s="7" t="e">
        <f t="shared" si="8"/>
        <v>#VALUE!</v>
      </c>
      <c r="Z24" s="7" t="e">
        <f t="shared" si="9"/>
        <v>#VALUE!</v>
      </c>
      <c r="AA24" s="7" t="e">
        <f t="shared" si="10"/>
        <v>#VALUE!</v>
      </c>
      <c r="AB24" s="7" t="e">
        <f t="shared" si="11"/>
        <v>#VALUE!</v>
      </c>
      <c r="AC24" s="7" t="e">
        <f t="shared" si="12"/>
        <v>#VALUE!</v>
      </c>
      <c r="AD24" s="7" t="e">
        <f t="shared" si="13"/>
        <v>#VALUE!</v>
      </c>
      <c r="AE24" s="7" t="e">
        <f t="shared" si="14"/>
        <v>#VALUE!</v>
      </c>
      <c r="AF24" s="7" t="e">
        <f t="shared" si="15"/>
        <v>#VALUE!</v>
      </c>
      <c r="AG24" s="7" t="e">
        <f t="shared" si="16"/>
        <v>#VALUE!</v>
      </c>
      <c r="AH24" s="7">
        <f>$C$12</f>
        <v>3.183098861837907</v>
      </c>
      <c r="AJ24">
        <f t="shared" si="34"/>
        <v>420</v>
      </c>
      <c r="AK24" s="7">
        <f t="shared" si="17"/>
        <v>13.622613328767628</v>
      </c>
      <c r="AL24" s="7">
        <f t="shared" si="18"/>
        <v>13.524539413327554</v>
      </c>
      <c r="AM24" s="7">
        <f t="shared" si="19"/>
        <v>7.325978721396627</v>
      </c>
      <c r="AN24" s="7">
        <f t="shared" si="20"/>
        <v>10.801664954246133</v>
      </c>
      <c r="AO24" s="7">
        <f t="shared" si="21"/>
        <v>15.479422320410416</v>
      </c>
      <c r="AP24" s="7">
        <f t="shared" si="22"/>
        <v>31.013583240553558</v>
      </c>
      <c r="AQ24" s="7" t="e">
        <f t="shared" si="23"/>
        <v>#VALUE!</v>
      </c>
      <c r="AR24" s="7" t="e">
        <f t="shared" si="24"/>
        <v>#VALUE!</v>
      </c>
      <c r="AS24" s="7" t="e">
        <f t="shared" si="25"/>
        <v>#VALUE!</v>
      </c>
      <c r="AT24" s="7" t="e">
        <f t="shared" si="26"/>
        <v>#VALUE!</v>
      </c>
      <c r="AU24" s="7" t="e">
        <f t="shared" si="27"/>
        <v>#VALUE!</v>
      </c>
      <c r="AV24" s="7" t="e">
        <f t="shared" si="28"/>
        <v>#VALUE!</v>
      </c>
      <c r="AW24" s="7" t="e">
        <f t="shared" si="29"/>
        <v>#VALUE!</v>
      </c>
      <c r="AX24" s="7" t="e">
        <f t="shared" si="30"/>
        <v>#VALUE!</v>
      </c>
      <c r="AY24" s="7" t="e">
        <f t="shared" si="31"/>
        <v>#VALUE!</v>
      </c>
      <c r="AZ24" s="7" t="e">
        <f t="shared" si="32"/>
        <v>#VALUE!</v>
      </c>
      <c r="BA24" s="7"/>
    </row>
    <row r="25" spans="1:53" x14ac:dyDescent="0.25">
      <c r="A25" t="s">
        <v>46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6"/>
        <v>#N/A</v>
      </c>
      <c r="M25" s="2" t="e">
        <f t="shared" si="37"/>
        <v>#N/A</v>
      </c>
      <c r="N25" s="2" t="e">
        <f t="shared" si="38"/>
        <v>#N/A</v>
      </c>
      <c r="P25">
        <f t="shared" si="35"/>
        <v>11</v>
      </c>
      <c r="Q25">
        <f t="shared" si="33"/>
        <v>440</v>
      </c>
      <c r="R25" s="7">
        <f t="shared" si="1"/>
        <v>15.699222818789186</v>
      </c>
      <c r="S25" s="7">
        <f t="shared" si="2"/>
        <v>15.368195748864071</v>
      </c>
      <c r="T25" s="7">
        <f t="shared" si="3"/>
        <v>8.2320755362527667</v>
      </c>
      <c r="U25" s="7">
        <f t="shared" si="4"/>
        <v>12.105434759697348</v>
      </c>
      <c r="V25" s="7">
        <f t="shared" si="5"/>
        <v>17.870986499697356</v>
      </c>
      <c r="W25" s="7">
        <f t="shared" si="6"/>
        <v>34.234622702703504</v>
      </c>
      <c r="X25" s="7" t="e">
        <f t="shared" si="7"/>
        <v>#VALUE!</v>
      </c>
      <c r="Y25" s="7" t="e">
        <f t="shared" si="8"/>
        <v>#VALUE!</v>
      </c>
      <c r="Z25" s="7" t="e">
        <f t="shared" si="9"/>
        <v>#VALUE!</v>
      </c>
      <c r="AA25" s="7" t="e">
        <f t="shared" si="10"/>
        <v>#VALUE!</v>
      </c>
      <c r="AB25" s="7" t="e">
        <f t="shared" si="11"/>
        <v>#VALUE!</v>
      </c>
      <c r="AC25" s="7" t="e">
        <f t="shared" si="12"/>
        <v>#VALUE!</v>
      </c>
      <c r="AD25" s="7" t="e">
        <f t="shared" si="13"/>
        <v>#VALUE!</v>
      </c>
      <c r="AE25" s="7" t="e">
        <f t="shared" si="14"/>
        <v>#VALUE!</v>
      </c>
      <c r="AF25" s="7" t="e">
        <f t="shared" si="15"/>
        <v>#VALUE!</v>
      </c>
      <c r="AG25" s="7" t="e">
        <f t="shared" si="16"/>
        <v>#VALUE!</v>
      </c>
      <c r="AH25" s="7">
        <f>$C$12</f>
        <v>3.183098861837907</v>
      </c>
      <c r="AJ25">
        <f t="shared" si="34"/>
        <v>440</v>
      </c>
      <c r="AK25" s="7">
        <f t="shared" si="17"/>
        <v>12.668591851827621</v>
      </c>
      <c r="AL25" s="7">
        <f t="shared" si="18"/>
        <v>12.569813959722067</v>
      </c>
      <c r="AM25" s="7">
        <f t="shared" si="19"/>
        <v>7.0876957222683723</v>
      </c>
      <c r="AN25" s="7">
        <f t="shared" si="20"/>
        <v>10.362461347838716</v>
      </c>
      <c r="AO25" s="7">
        <f t="shared" si="21"/>
        <v>14.843537828710225</v>
      </c>
      <c r="AP25" s="7">
        <f t="shared" si="22"/>
        <v>29.695630863920197</v>
      </c>
      <c r="AQ25" s="7" t="e">
        <f t="shared" si="23"/>
        <v>#VALUE!</v>
      </c>
      <c r="AR25" s="7" t="e">
        <f t="shared" si="24"/>
        <v>#VALUE!</v>
      </c>
      <c r="AS25" s="7" t="e">
        <f t="shared" si="25"/>
        <v>#VALUE!</v>
      </c>
      <c r="AT25" s="7" t="e">
        <f t="shared" si="26"/>
        <v>#VALUE!</v>
      </c>
      <c r="AU25" s="7" t="e">
        <f t="shared" si="27"/>
        <v>#VALUE!</v>
      </c>
      <c r="AV25" s="7" t="e">
        <f t="shared" si="28"/>
        <v>#VALUE!</v>
      </c>
      <c r="AW25" s="7" t="e">
        <f t="shared" si="29"/>
        <v>#VALUE!</v>
      </c>
      <c r="AX25" s="7" t="e">
        <f t="shared" si="30"/>
        <v>#VALUE!</v>
      </c>
      <c r="AY25" s="7" t="e">
        <f t="shared" si="31"/>
        <v>#VALUE!</v>
      </c>
      <c r="AZ25" s="7" t="e">
        <f t="shared" si="32"/>
        <v>#VALUE!</v>
      </c>
      <c r="BA25" s="7"/>
    </row>
    <row r="26" spans="1:53" x14ac:dyDescent="0.25">
      <c r="A26" t="s">
        <v>47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6"/>
        <v>#N/A</v>
      </c>
      <c r="M26" s="2" t="e">
        <f t="shared" si="37"/>
        <v>#N/A</v>
      </c>
      <c r="N26" s="2" t="e">
        <f t="shared" si="38"/>
        <v>#N/A</v>
      </c>
      <c r="P26">
        <f t="shared" si="35"/>
        <v>11.5</v>
      </c>
      <c r="Q26">
        <f t="shared" si="33"/>
        <v>460</v>
      </c>
      <c r="R26" s="7">
        <f t="shared" si="1"/>
        <v>13.927846748534224</v>
      </c>
      <c r="S26" s="7">
        <f t="shared" si="2"/>
        <v>13.636058352297464</v>
      </c>
      <c r="T26" s="7">
        <f t="shared" si="3"/>
        <v>7.6210481947549038</v>
      </c>
      <c r="U26" s="7">
        <f t="shared" si="4"/>
        <v>11.189646596475713</v>
      </c>
      <c r="V26" s="7">
        <f t="shared" si="5"/>
        <v>16.400552755756674</v>
      </c>
      <c r="W26" s="7">
        <f t="shared" si="6"/>
        <v>31.802221284322361</v>
      </c>
      <c r="X26" s="7" t="e">
        <f t="shared" si="7"/>
        <v>#VALUE!</v>
      </c>
      <c r="Y26" s="7" t="e">
        <f t="shared" si="8"/>
        <v>#VALUE!</v>
      </c>
      <c r="Z26" s="7" t="e">
        <f t="shared" si="9"/>
        <v>#VALUE!</v>
      </c>
      <c r="AA26" s="7" t="e">
        <f t="shared" si="10"/>
        <v>#VALUE!</v>
      </c>
      <c r="AB26" s="7" t="e">
        <f t="shared" si="11"/>
        <v>#VALUE!</v>
      </c>
      <c r="AC26" s="7" t="e">
        <f t="shared" si="12"/>
        <v>#VALUE!</v>
      </c>
      <c r="AD26" s="7" t="e">
        <f t="shared" si="13"/>
        <v>#VALUE!</v>
      </c>
      <c r="AE26" s="7" t="e">
        <f t="shared" si="14"/>
        <v>#VALUE!</v>
      </c>
      <c r="AF26" s="7" t="e">
        <f t="shared" si="15"/>
        <v>#VALUE!</v>
      </c>
      <c r="AG26" s="7" t="e">
        <f t="shared" si="16"/>
        <v>#VALUE!</v>
      </c>
      <c r="AH26" s="7">
        <f>$C$12</f>
        <v>3.183098861837907</v>
      </c>
      <c r="AJ26">
        <f t="shared" si="34"/>
        <v>460</v>
      </c>
      <c r="AK26" s="7">
        <f t="shared" si="17"/>
        <v>11.738866692873852</v>
      </c>
      <c r="AL26" s="7">
        <f t="shared" si="18"/>
        <v>11.641320631251117</v>
      </c>
      <c r="AM26" s="7">
        <f t="shared" si="19"/>
        <v>6.8604948877361549</v>
      </c>
      <c r="AN26" s="7">
        <f t="shared" si="20"/>
        <v>9.9458114477968049</v>
      </c>
      <c r="AO26" s="7">
        <f t="shared" si="21"/>
        <v>14.231220689106665</v>
      </c>
      <c r="AP26" s="7">
        <f t="shared" si="22"/>
        <v>28.456893697978884</v>
      </c>
      <c r="AQ26" s="7" t="e">
        <f t="shared" si="23"/>
        <v>#VALUE!</v>
      </c>
      <c r="AR26" s="7" t="e">
        <f t="shared" si="24"/>
        <v>#VALUE!</v>
      </c>
      <c r="AS26" s="7" t="e">
        <f t="shared" si="25"/>
        <v>#VALUE!</v>
      </c>
      <c r="AT26" s="7" t="e">
        <f t="shared" si="26"/>
        <v>#VALUE!</v>
      </c>
      <c r="AU26" s="7" t="e">
        <f t="shared" si="27"/>
        <v>#VALUE!</v>
      </c>
      <c r="AV26" s="7" t="e">
        <f t="shared" si="28"/>
        <v>#VALUE!</v>
      </c>
      <c r="AW26" s="7" t="e">
        <f t="shared" si="29"/>
        <v>#VALUE!</v>
      </c>
      <c r="AX26" s="7" t="e">
        <f t="shared" si="30"/>
        <v>#VALUE!</v>
      </c>
      <c r="AY26" s="7" t="e">
        <f t="shared" si="31"/>
        <v>#VALUE!</v>
      </c>
      <c r="AZ26" s="7" t="e">
        <f t="shared" si="32"/>
        <v>#VALUE!</v>
      </c>
      <c r="BA26" s="7"/>
    </row>
    <row r="27" spans="1:53" x14ac:dyDescent="0.25">
      <c r="A27" t="s">
        <v>48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6"/>
        <v>#N/A</v>
      </c>
      <c r="M27" s="2" t="e">
        <f t="shared" si="37"/>
        <v>#N/A</v>
      </c>
      <c r="N27" s="2" t="e">
        <f t="shared" si="38"/>
        <v>#N/A</v>
      </c>
      <c r="P27">
        <f t="shared" si="35"/>
        <v>12</v>
      </c>
      <c r="Q27">
        <f t="shared" si="33"/>
        <v>480</v>
      </c>
      <c r="R27" s="7">
        <f t="shared" si="1"/>
        <v>12.287824902507925</v>
      </c>
      <c r="S27" s="7">
        <f t="shared" si="2"/>
        <v>12.030375546137398</v>
      </c>
      <c r="T27" s="7">
        <f t="shared" si="3"/>
        <v>7.058418023484279</v>
      </c>
      <c r="U27" s="7">
        <f t="shared" si="4"/>
        <v>10.343479431602722</v>
      </c>
      <c r="V27" s="7">
        <f t="shared" si="5"/>
        <v>15.045034370953008</v>
      </c>
      <c r="W27" s="7">
        <f t="shared" si="6"/>
        <v>29.548783495522105</v>
      </c>
      <c r="X27" s="7" t="e">
        <f t="shared" si="7"/>
        <v>#VALUE!</v>
      </c>
      <c r="Y27" s="7" t="e">
        <f t="shared" si="8"/>
        <v>#VALUE!</v>
      </c>
      <c r="Z27" s="7" t="e">
        <f t="shared" si="9"/>
        <v>#VALUE!</v>
      </c>
      <c r="AA27" s="7" t="e">
        <f t="shared" si="10"/>
        <v>#VALUE!</v>
      </c>
      <c r="AB27" s="7" t="e">
        <f t="shared" si="11"/>
        <v>#VALUE!</v>
      </c>
      <c r="AC27" s="7" t="e">
        <f t="shared" si="12"/>
        <v>#VALUE!</v>
      </c>
      <c r="AD27" s="7" t="e">
        <f t="shared" si="13"/>
        <v>#VALUE!</v>
      </c>
      <c r="AE27" s="7" t="e">
        <f t="shared" si="14"/>
        <v>#VALUE!</v>
      </c>
      <c r="AF27" s="7" t="e">
        <f t="shared" si="15"/>
        <v>#VALUE!</v>
      </c>
      <c r="AG27" s="7" t="e">
        <f t="shared" si="16"/>
        <v>#VALUE!</v>
      </c>
      <c r="AH27" s="7">
        <f>$C$12</f>
        <v>3.183098861837907</v>
      </c>
      <c r="AJ27">
        <f t="shared" si="34"/>
        <v>480</v>
      </c>
      <c r="AK27" s="7">
        <f t="shared" si="17"/>
        <v>10.828483190819076</v>
      </c>
      <c r="AL27" s="7">
        <f t="shared" si="18"/>
        <v>10.733764054172733</v>
      </c>
      <c r="AM27" s="7">
        <f t="shared" si="19"/>
        <v>6.6424201709867567</v>
      </c>
      <c r="AN27" s="7">
        <f t="shared" si="20"/>
        <v>9.5477525108709376</v>
      </c>
      <c r="AO27" s="7">
        <f t="shared" si="21"/>
        <v>13.638157755606921</v>
      </c>
      <c r="AP27" s="7">
        <f t="shared" si="22"/>
        <v>27.283877897578805</v>
      </c>
      <c r="AQ27" s="7" t="e">
        <f t="shared" si="23"/>
        <v>#VALUE!</v>
      </c>
      <c r="AR27" s="7" t="e">
        <f t="shared" si="24"/>
        <v>#VALUE!</v>
      </c>
      <c r="AS27" s="7" t="e">
        <f t="shared" si="25"/>
        <v>#VALUE!</v>
      </c>
      <c r="AT27" s="7" t="e">
        <f t="shared" si="26"/>
        <v>#VALUE!</v>
      </c>
      <c r="AU27" s="7" t="e">
        <f t="shared" si="27"/>
        <v>#VALUE!</v>
      </c>
      <c r="AV27" s="7" t="e">
        <f t="shared" si="28"/>
        <v>#VALUE!</v>
      </c>
      <c r="AW27" s="7" t="e">
        <f t="shared" si="29"/>
        <v>#VALUE!</v>
      </c>
      <c r="AX27" s="7" t="e">
        <f t="shared" si="30"/>
        <v>#VALUE!</v>
      </c>
      <c r="AY27" s="7" t="e">
        <f t="shared" si="31"/>
        <v>#VALUE!</v>
      </c>
      <c r="AZ27" s="7" t="e">
        <f t="shared" si="32"/>
        <v>#VALUE!</v>
      </c>
      <c r="BA27" s="7"/>
    </row>
    <row r="28" spans="1:53" x14ac:dyDescent="0.25">
      <c r="A28" t="s">
        <v>49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6"/>
        <v>#N/A</v>
      </c>
      <c r="M28" s="2" t="e">
        <f t="shared" si="37"/>
        <v>#N/A</v>
      </c>
      <c r="N28" s="2" t="e">
        <f t="shared" si="38"/>
        <v>#N/A</v>
      </c>
      <c r="P28">
        <f t="shared" si="35"/>
        <v>12.5</v>
      </c>
      <c r="Q28">
        <f t="shared" si="33"/>
        <v>500</v>
      </c>
      <c r="R28" s="7">
        <f t="shared" si="1"/>
        <v>10.765069012290823</v>
      </c>
      <c r="S28" s="7">
        <f t="shared" si="2"/>
        <v>10.53778728979586</v>
      </c>
      <c r="T28" s="7">
        <f t="shared" si="3"/>
        <v>6.5386540310537038</v>
      </c>
      <c r="U28" s="7">
        <f t="shared" si="4"/>
        <v>9.5592847953253521</v>
      </c>
      <c r="V28" s="7">
        <f t="shared" si="5"/>
        <v>13.791466870623042</v>
      </c>
      <c r="W28" s="7">
        <f t="shared" si="6"/>
        <v>27.455259298443227</v>
      </c>
      <c r="X28" s="7" t="e">
        <f t="shared" si="7"/>
        <v>#VALUE!</v>
      </c>
      <c r="Y28" s="7" t="e">
        <f t="shared" si="8"/>
        <v>#VALUE!</v>
      </c>
      <c r="Z28" s="7" t="e">
        <f t="shared" si="9"/>
        <v>#VALUE!</v>
      </c>
      <c r="AA28" s="7" t="e">
        <f t="shared" si="10"/>
        <v>#VALUE!</v>
      </c>
      <c r="AB28" s="7" t="e">
        <f t="shared" si="11"/>
        <v>#VALUE!</v>
      </c>
      <c r="AC28" s="7" t="e">
        <f t="shared" si="12"/>
        <v>#VALUE!</v>
      </c>
      <c r="AD28" s="7" t="e">
        <f t="shared" si="13"/>
        <v>#VALUE!</v>
      </c>
      <c r="AE28" s="7" t="e">
        <f t="shared" si="14"/>
        <v>#VALUE!</v>
      </c>
      <c r="AF28" s="7" t="e">
        <f t="shared" si="15"/>
        <v>#VALUE!</v>
      </c>
      <c r="AG28" s="7" t="e">
        <f t="shared" si="16"/>
        <v>#VALUE!</v>
      </c>
      <c r="AH28" s="7">
        <f>$C$12</f>
        <v>3.183098861837907</v>
      </c>
      <c r="AJ28">
        <f t="shared" si="34"/>
        <v>500</v>
      </c>
      <c r="AK28" s="7">
        <f t="shared" si="17"/>
        <v>9.9335057848989781</v>
      </c>
      <c r="AL28" s="7">
        <f t="shared" si="18"/>
        <v>9.8429240727739611</v>
      </c>
      <c r="AM28" s="7">
        <f t="shared" si="19"/>
        <v>6.4319072995547799</v>
      </c>
      <c r="AN28" s="7">
        <f t="shared" si="20"/>
        <v>9.1650985169065571</v>
      </c>
      <c r="AO28" s="7">
        <f t="shared" si="21"/>
        <v>13.060909132592071</v>
      </c>
      <c r="AP28" s="7">
        <f t="shared" si="22"/>
        <v>26.165655221018252</v>
      </c>
      <c r="AQ28" s="7" t="e">
        <f t="shared" si="23"/>
        <v>#VALUE!</v>
      </c>
      <c r="AR28" s="7" t="e">
        <f t="shared" si="24"/>
        <v>#VALUE!</v>
      </c>
      <c r="AS28" s="7" t="e">
        <f t="shared" si="25"/>
        <v>#VALUE!</v>
      </c>
      <c r="AT28" s="7" t="e">
        <f t="shared" si="26"/>
        <v>#VALUE!</v>
      </c>
      <c r="AU28" s="7" t="e">
        <f t="shared" si="27"/>
        <v>#VALUE!</v>
      </c>
      <c r="AV28" s="7" t="e">
        <f t="shared" si="28"/>
        <v>#VALUE!</v>
      </c>
      <c r="AW28" s="7" t="e">
        <f t="shared" si="29"/>
        <v>#VALUE!</v>
      </c>
      <c r="AX28" s="7" t="e">
        <f t="shared" si="30"/>
        <v>#VALUE!</v>
      </c>
      <c r="AY28" s="7" t="e">
        <f t="shared" si="31"/>
        <v>#VALUE!</v>
      </c>
      <c r="AZ28" s="7" t="e">
        <f t="shared" si="32"/>
        <v>#VALUE!</v>
      </c>
      <c r="BA28" s="7"/>
    </row>
    <row r="29" spans="1:53" x14ac:dyDescent="0.25">
      <c r="A29" t="s">
        <v>50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6"/>
        <v>#N/A</v>
      </c>
      <c r="M29" s="2" t="e">
        <f t="shared" si="37"/>
        <v>#N/A</v>
      </c>
      <c r="N29" s="2" t="e">
        <f t="shared" si="38"/>
        <v>#N/A</v>
      </c>
      <c r="P29">
        <f t="shared" si="35"/>
        <v>13</v>
      </c>
      <c r="Q29">
        <f t="shared" si="33"/>
        <v>520</v>
      </c>
      <c r="R29" s="7">
        <f t="shared" si="1"/>
        <v>9.3474359654052055</v>
      </c>
      <c r="S29" s="7">
        <f t="shared" si="2"/>
        <v>9.1467515193814037</v>
      </c>
      <c r="T29" s="7">
        <f t="shared" si="3"/>
        <v>6.0570370986313202</v>
      </c>
      <c r="U29" s="7">
        <f t="shared" si="4"/>
        <v>8.8304949752466406</v>
      </c>
      <c r="V29" s="7">
        <f t="shared" si="5"/>
        <v>12.628765261738211</v>
      </c>
      <c r="W29" s="7">
        <f t="shared" si="6"/>
        <v>25.505209752377638</v>
      </c>
      <c r="X29" s="7" t="e">
        <f t="shared" si="7"/>
        <v>#VALUE!</v>
      </c>
      <c r="Y29" s="7" t="e">
        <f t="shared" si="8"/>
        <v>#VALUE!</v>
      </c>
      <c r="Z29" s="7" t="e">
        <f t="shared" si="9"/>
        <v>#VALUE!</v>
      </c>
      <c r="AA29" s="7" t="e">
        <f t="shared" si="10"/>
        <v>#VALUE!</v>
      </c>
      <c r="AB29" s="7" t="e">
        <f t="shared" si="11"/>
        <v>#VALUE!</v>
      </c>
      <c r="AC29" s="7" t="e">
        <f t="shared" si="12"/>
        <v>#VALUE!</v>
      </c>
      <c r="AD29" s="7" t="e">
        <f t="shared" si="13"/>
        <v>#VALUE!</v>
      </c>
      <c r="AE29" s="7" t="e">
        <f t="shared" si="14"/>
        <v>#VALUE!</v>
      </c>
      <c r="AF29" s="7" t="e">
        <f t="shared" si="15"/>
        <v>#VALUE!</v>
      </c>
      <c r="AG29" s="7" t="e">
        <f t="shared" si="16"/>
        <v>#VALUE!</v>
      </c>
      <c r="AH29" s="7">
        <f>$C$12</f>
        <v>3.183098861837907</v>
      </c>
      <c r="AJ29">
        <f t="shared" si="34"/>
        <v>520</v>
      </c>
      <c r="AK29" s="7">
        <f t="shared" si="17"/>
        <v>9.0507903837860706</v>
      </c>
      <c r="AL29" s="7">
        <f t="shared" si="18"/>
        <v>8.9654187588184158</v>
      </c>
      <c r="AM29" s="7">
        <f t="shared" si="19"/>
        <v>6.2276953272602915</v>
      </c>
      <c r="AN29" s="7">
        <f t="shared" si="20"/>
        <v>8.7952695344624701</v>
      </c>
      <c r="AO29" s="7">
        <f t="shared" si="21"/>
        <v>12.496710729264819</v>
      </c>
      <c r="AP29" s="7">
        <f t="shared" si="22"/>
        <v>25.093315838947834</v>
      </c>
      <c r="AQ29" s="7" t="e">
        <f t="shared" si="23"/>
        <v>#VALUE!</v>
      </c>
      <c r="AR29" s="7" t="e">
        <f t="shared" si="24"/>
        <v>#VALUE!</v>
      </c>
      <c r="AS29" s="7" t="e">
        <f t="shared" si="25"/>
        <v>#VALUE!</v>
      </c>
      <c r="AT29" s="7" t="e">
        <f t="shared" si="26"/>
        <v>#VALUE!</v>
      </c>
      <c r="AU29" s="7" t="e">
        <f t="shared" si="27"/>
        <v>#VALUE!</v>
      </c>
      <c r="AV29" s="7" t="e">
        <f t="shared" si="28"/>
        <v>#VALUE!</v>
      </c>
      <c r="AW29" s="7" t="e">
        <f t="shared" si="29"/>
        <v>#VALUE!</v>
      </c>
      <c r="AX29" s="7" t="e">
        <f t="shared" si="30"/>
        <v>#VALUE!</v>
      </c>
      <c r="AY29" s="7" t="e">
        <f t="shared" si="31"/>
        <v>#VALUE!</v>
      </c>
      <c r="AZ29" s="7" t="e">
        <f t="shared" si="32"/>
        <v>#VALUE!</v>
      </c>
      <c r="BA29" s="7"/>
    </row>
    <row r="30" spans="1:53" x14ac:dyDescent="0.25">
      <c r="P30">
        <f t="shared" si="35"/>
        <v>13.5</v>
      </c>
      <c r="Q30">
        <f t="shared" si="33"/>
        <v>540</v>
      </c>
      <c r="R30" s="7">
        <f t="shared" si="1"/>
        <v>8.0244032987510501</v>
      </c>
      <c r="S30" s="7">
        <f t="shared" si="2"/>
        <v>7.8472450931774018</v>
      </c>
      <c r="T30" s="7">
        <f t="shared" si="3"/>
        <v>5.6095162884297212</v>
      </c>
      <c r="U30" s="7">
        <f t="shared" si="4"/>
        <v>8.1514386359196838</v>
      </c>
      <c r="V30" s="7">
        <f t="shared" si="5"/>
        <v>11.547395355623053</v>
      </c>
      <c r="W30" s="7">
        <f t="shared" si="6"/>
        <v>23.684374472192626</v>
      </c>
      <c r="X30" s="7" t="e">
        <f t="shared" si="7"/>
        <v>#VALUE!</v>
      </c>
      <c r="Y30" s="7" t="e">
        <f t="shared" si="8"/>
        <v>#VALUE!</v>
      </c>
      <c r="Z30" s="7" t="e">
        <f t="shared" si="9"/>
        <v>#VALUE!</v>
      </c>
      <c r="AA30" s="7" t="e">
        <f t="shared" si="10"/>
        <v>#VALUE!</v>
      </c>
      <c r="AB30" s="7" t="e">
        <f t="shared" si="11"/>
        <v>#VALUE!</v>
      </c>
      <c r="AC30" s="7" t="e">
        <f t="shared" si="12"/>
        <v>#VALUE!</v>
      </c>
      <c r="AD30" s="7" t="e">
        <f t="shared" si="13"/>
        <v>#VALUE!</v>
      </c>
      <c r="AE30" s="7" t="e">
        <f t="shared" si="14"/>
        <v>#VALUE!</v>
      </c>
      <c r="AF30" s="7" t="e">
        <f t="shared" si="15"/>
        <v>#VALUE!</v>
      </c>
      <c r="AG30" s="7" t="e">
        <f t="shared" si="16"/>
        <v>#VALUE!</v>
      </c>
      <c r="AH30" s="7">
        <f>$C$12</f>
        <v>3.183098861837907</v>
      </c>
      <c r="AJ30">
        <f t="shared" si="34"/>
        <v>540</v>
      </c>
      <c r="AK30" s="7">
        <f t="shared" si="17"/>
        <v>8.1778123189150769</v>
      </c>
      <c r="AL30" s="7">
        <f t="shared" si="18"/>
        <v>8.0985245307531883</v>
      </c>
      <c r="AM30" s="7">
        <f t="shared" si="19"/>
        <v>6.0287603646986545</v>
      </c>
      <c r="AN30" s="7">
        <f t="shared" si="20"/>
        <v>8.4361626320767211</v>
      </c>
      <c r="AO30" s="7">
        <f t="shared" si="21"/>
        <v>11.943326186862713</v>
      </c>
      <c r="AP30" s="7">
        <f t="shared" si="22"/>
        <v>24.05955060231814</v>
      </c>
      <c r="AQ30" s="7" t="e">
        <f t="shared" si="23"/>
        <v>#VALUE!</v>
      </c>
      <c r="AR30" s="7" t="e">
        <f t="shared" si="24"/>
        <v>#VALUE!</v>
      </c>
      <c r="AS30" s="7" t="e">
        <f t="shared" si="25"/>
        <v>#VALUE!</v>
      </c>
      <c r="AT30" s="7" t="e">
        <f t="shared" si="26"/>
        <v>#VALUE!</v>
      </c>
      <c r="AU30" s="7" t="e">
        <f t="shared" si="27"/>
        <v>#VALUE!</v>
      </c>
      <c r="AV30" s="7" t="e">
        <f t="shared" si="28"/>
        <v>#VALUE!</v>
      </c>
      <c r="AW30" s="7" t="e">
        <f t="shared" si="29"/>
        <v>#VALUE!</v>
      </c>
      <c r="AX30" s="7" t="e">
        <f t="shared" si="30"/>
        <v>#VALUE!</v>
      </c>
      <c r="AY30" s="7" t="e">
        <f t="shared" si="31"/>
        <v>#VALUE!</v>
      </c>
      <c r="AZ30" s="7" t="e">
        <f t="shared" si="32"/>
        <v>#VALUE!</v>
      </c>
      <c r="BA30" s="7"/>
    </row>
    <row r="31" spans="1:53" x14ac:dyDescent="0.25">
      <c r="P31">
        <f t="shared" si="35"/>
        <v>14</v>
      </c>
      <c r="Q31">
        <f t="shared" si="33"/>
        <v>560</v>
      </c>
      <c r="R31" s="7">
        <f t="shared" si="1"/>
        <v>6.7868075586153456</v>
      </c>
      <c r="S31" s="7">
        <f t="shared" si="2"/>
        <v>6.6305218896588922</v>
      </c>
      <c r="T31" s="7">
        <f t="shared" si="3"/>
        <v>5.1925946268326362</v>
      </c>
      <c r="U31" s="7">
        <f t="shared" si="4"/>
        <v>7.5171929399989326</v>
      </c>
      <c r="V31" s="7">
        <f t="shared" si="5"/>
        <v>10.539111733367124</v>
      </c>
      <c r="W31" s="7">
        <f t="shared" si="6"/>
        <v>21.980322312660551</v>
      </c>
      <c r="X31" s="7" t="e">
        <f t="shared" si="7"/>
        <v>#VALUE!</v>
      </c>
      <c r="Y31" s="7" t="e">
        <f t="shared" si="8"/>
        <v>#VALUE!</v>
      </c>
      <c r="Z31" s="7" t="e">
        <f t="shared" si="9"/>
        <v>#VALUE!</v>
      </c>
      <c r="AA31" s="7" t="e">
        <f t="shared" si="10"/>
        <v>#VALUE!</v>
      </c>
      <c r="AB31" s="7" t="e">
        <f t="shared" si="11"/>
        <v>#VALUE!</v>
      </c>
      <c r="AC31" s="7" t="e">
        <f t="shared" si="12"/>
        <v>#VALUE!</v>
      </c>
      <c r="AD31" s="7" t="e">
        <f t="shared" si="13"/>
        <v>#VALUE!</v>
      </c>
      <c r="AE31" s="7" t="e">
        <f t="shared" si="14"/>
        <v>#VALUE!</v>
      </c>
      <c r="AF31" s="7" t="e">
        <f t="shared" si="15"/>
        <v>#VALUE!</v>
      </c>
      <c r="AG31" s="7" t="e">
        <f t="shared" si="16"/>
        <v>#VALUE!</v>
      </c>
      <c r="AH31" s="7">
        <f>$C$12</f>
        <v>3.183098861837907</v>
      </c>
      <c r="AJ31">
        <f t="shared" si="34"/>
        <v>560</v>
      </c>
      <c r="AK31" s="7">
        <f t="shared" si="17"/>
        <v>7.3125351287307918</v>
      </c>
      <c r="AL31" s="7">
        <f t="shared" si="18"/>
        <v>7.240038419875205</v>
      </c>
      <c r="AM31" s="7">
        <f t="shared" si="19"/>
        <v>5.8342653963560389</v>
      </c>
      <c r="AN31" s="7">
        <f t="shared" si="20"/>
        <v>8.0860532627347848</v>
      </c>
      <c r="AO31" s="7">
        <f t="shared" si="21"/>
        <v>11.398934684920217</v>
      </c>
      <c r="AP31" s="7">
        <f t="shared" si="22"/>
        <v>23.058329213947925</v>
      </c>
      <c r="AQ31" s="7" t="e">
        <f t="shared" si="23"/>
        <v>#VALUE!</v>
      </c>
      <c r="AR31" s="7" t="e">
        <f t="shared" si="24"/>
        <v>#VALUE!</v>
      </c>
      <c r="AS31" s="7" t="e">
        <f t="shared" si="25"/>
        <v>#VALUE!</v>
      </c>
      <c r="AT31" s="7" t="e">
        <f t="shared" si="26"/>
        <v>#VALUE!</v>
      </c>
      <c r="AU31" s="7" t="e">
        <f t="shared" si="27"/>
        <v>#VALUE!</v>
      </c>
      <c r="AV31" s="7" t="e">
        <f t="shared" si="28"/>
        <v>#VALUE!</v>
      </c>
      <c r="AW31" s="7" t="e">
        <f t="shared" si="29"/>
        <v>#VALUE!</v>
      </c>
      <c r="AX31" s="7" t="e">
        <f t="shared" si="30"/>
        <v>#VALUE!</v>
      </c>
      <c r="AY31" s="7" t="e">
        <f t="shared" si="31"/>
        <v>#VALUE!</v>
      </c>
      <c r="AZ31" s="7" t="e">
        <f t="shared" si="32"/>
        <v>#VALUE!</v>
      </c>
      <c r="BA31" s="7"/>
    </row>
    <row r="32" spans="1:53" x14ac:dyDescent="0.25">
      <c r="P32">
        <f t="shared" si="35"/>
        <v>14.5</v>
      </c>
      <c r="Q32">
        <f t="shared" si="33"/>
        <v>580</v>
      </c>
      <c r="R32" s="7">
        <f t="shared" si="1"/>
        <v>5.626631762709323</v>
      </c>
      <c r="S32" s="7">
        <f t="shared" si="2"/>
        <v>5.488915708526183</v>
      </c>
      <c r="T32" s="7">
        <f t="shared" si="3"/>
        <v>4.8032375417036501</v>
      </c>
      <c r="U32" s="7">
        <f t="shared" si="4"/>
        <v>6.9234640096988249</v>
      </c>
      <c r="V32" s="7">
        <f t="shared" si="5"/>
        <v>9.5967471046820219</v>
      </c>
      <c r="W32" s="7">
        <f t="shared" si="6"/>
        <v>20.38216717665723</v>
      </c>
      <c r="X32" s="7" t="e">
        <f t="shared" si="7"/>
        <v>#VALUE!</v>
      </c>
      <c r="Y32" s="7" t="e">
        <f t="shared" si="8"/>
        <v>#VALUE!</v>
      </c>
      <c r="Z32" s="7" t="e">
        <f t="shared" si="9"/>
        <v>#VALUE!</v>
      </c>
      <c r="AA32" s="7" t="e">
        <f t="shared" si="10"/>
        <v>#VALUE!</v>
      </c>
      <c r="AB32" s="7" t="e">
        <f t="shared" si="11"/>
        <v>#VALUE!</v>
      </c>
      <c r="AC32" s="7" t="e">
        <f t="shared" si="12"/>
        <v>#VALUE!</v>
      </c>
      <c r="AD32" s="7" t="e">
        <f t="shared" si="13"/>
        <v>#VALUE!</v>
      </c>
      <c r="AE32" s="7" t="e">
        <f t="shared" si="14"/>
        <v>#VALUE!</v>
      </c>
      <c r="AF32" s="7" t="e">
        <f t="shared" si="15"/>
        <v>#VALUE!</v>
      </c>
      <c r="AG32" s="7" t="e">
        <f t="shared" si="16"/>
        <v>#VALUE!</v>
      </c>
      <c r="AH32" s="7">
        <f>$C$12</f>
        <v>3.183098861837907</v>
      </c>
      <c r="AJ32">
        <f t="shared" si="34"/>
        <v>580</v>
      </c>
      <c r="AK32" s="7">
        <f t="shared" si="17"/>
        <v>6.4533096431580592</v>
      </c>
      <c r="AL32" s="7">
        <f t="shared" si="18"/>
        <v>6.38817174926701</v>
      </c>
      <c r="AM32" s="7">
        <f t="shared" si="19"/>
        <v>5.6435219040506963</v>
      </c>
      <c r="AN32" s="7">
        <f t="shared" si="20"/>
        <v>7.7435192437443821</v>
      </c>
      <c r="AO32" s="7">
        <f t="shared" si="21"/>
        <v>10.862045120576321</v>
      </c>
      <c r="AP32" s="7">
        <f t="shared" si="22"/>
        <v>22.084650171901291</v>
      </c>
      <c r="AQ32" s="7" t="e">
        <f t="shared" si="23"/>
        <v>#VALUE!</v>
      </c>
      <c r="AR32" s="7" t="e">
        <f t="shared" si="24"/>
        <v>#VALUE!</v>
      </c>
      <c r="AS32" s="7" t="e">
        <f t="shared" si="25"/>
        <v>#VALUE!</v>
      </c>
      <c r="AT32" s="7" t="e">
        <f t="shared" si="26"/>
        <v>#VALUE!</v>
      </c>
      <c r="AU32" s="7" t="e">
        <f t="shared" si="27"/>
        <v>#VALUE!</v>
      </c>
      <c r="AV32" s="7" t="e">
        <f t="shared" si="28"/>
        <v>#VALUE!</v>
      </c>
      <c r="AW32" s="7" t="e">
        <f t="shared" si="29"/>
        <v>#VALUE!</v>
      </c>
      <c r="AX32" s="7" t="e">
        <f t="shared" si="30"/>
        <v>#VALUE!</v>
      </c>
      <c r="AY32" s="7" t="e">
        <f t="shared" si="31"/>
        <v>#VALUE!</v>
      </c>
      <c r="AZ32" s="7" t="e">
        <f t="shared" si="32"/>
        <v>#VALUE!</v>
      </c>
      <c r="BA32" s="7"/>
    </row>
    <row r="33" spans="3:53" x14ac:dyDescent="0.25">
      <c r="P33">
        <f t="shared" si="35"/>
        <v>15</v>
      </c>
      <c r="Q33">
        <f t="shared" si="33"/>
        <v>600</v>
      </c>
      <c r="R33" s="7">
        <f t="shared" si="1"/>
        <v>4.5368315394843082</v>
      </c>
      <c r="S33" s="7">
        <f t="shared" si="2"/>
        <v>4.4156785836095631</v>
      </c>
      <c r="T33" s="7">
        <f t="shared" si="3"/>
        <v>4.4387988794278579</v>
      </c>
      <c r="U33" s="7">
        <f t="shared" si="4"/>
        <v>6.3664895881831445</v>
      </c>
      <c r="V33" s="7">
        <f t="shared" si="5"/>
        <v>8.7140416725511898</v>
      </c>
      <c r="W33" s="7">
        <f t="shared" si="6"/>
        <v>18.880335209338355</v>
      </c>
      <c r="X33" s="7" t="e">
        <f t="shared" si="7"/>
        <v>#VALUE!</v>
      </c>
      <c r="Y33" s="7" t="e">
        <f t="shared" si="8"/>
        <v>#VALUE!</v>
      </c>
      <c r="Z33" s="7" t="e">
        <f t="shared" si="9"/>
        <v>#VALUE!</v>
      </c>
      <c r="AA33" s="7" t="e">
        <f t="shared" si="10"/>
        <v>#VALUE!</v>
      </c>
      <c r="AB33" s="7" t="e">
        <f t="shared" si="11"/>
        <v>#VALUE!</v>
      </c>
      <c r="AC33" s="7" t="e">
        <f t="shared" si="12"/>
        <v>#VALUE!</v>
      </c>
      <c r="AD33" s="7" t="e">
        <f t="shared" si="13"/>
        <v>#VALUE!</v>
      </c>
      <c r="AE33" s="7" t="e">
        <f t="shared" si="14"/>
        <v>#VALUE!</v>
      </c>
      <c r="AF33" s="7" t="e">
        <f t="shared" si="15"/>
        <v>#VALUE!</v>
      </c>
      <c r="AG33" s="7" t="e">
        <f t="shared" si="16"/>
        <v>#VALUE!</v>
      </c>
      <c r="AH33" s="7">
        <f>$C$12</f>
        <v>3.183098861837907</v>
      </c>
      <c r="AJ33">
        <f t="shared" si="34"/>
        <v>600</v>
      </c>
      <c r="AK33" s="7">
        <f t="shared" si="17"/>
        <v>5.5987957670251154</v>
      </c>
      <c r="AL33" s="7">
        <f t="shared" si="18"/>
        <v>5.5414674408296394</v>
      </c>
      <c r="AM33" s="7">
        <f t="shared" si="19"/>
        <v>5.4559602503731881</v>
      </c>
      <c r="AN33" s="7">
        <f t="shared" si="20"/>
        <v>7.4073816603137956</v>
      </c>
      <c r="AO33" s="7">
        <f t="shared" si="21"/>
        <v>10.33142987997795</v>
      </c>
      <c r="AP33" s="7">
        <f t="shared" si="22"/>
        <v>21.134344935835539</v>
      </c>
      <c r="AQ33" s="7" t="e">
        <f t="shared" si="23"/>
        <v>#VALUE!</v>
      </c>
      <c r="AR33" s="7" t="e">
        <f t="shared" si="24"/>
        <v>#VALUE!</v>
      </c>
      <c r="AS33" s="7" t="e">
        <f t="shared" si="25"/>
        <v>#VALUE!</v>
      </c>
      <c r="AT33" s="7" t="e">
        <f t="shared" si="26"/>
        <v>#VALUE!</v>
      </c>
      <c r="AU33" s="7" t="e">
        <f t="shared" si="27"/>
        <v>#VALUE!</v>
      </c>
      <c r="AV33" s="7" t="e">
        <f t="shared" si="28"/>
        <v>#VALUE!</v>
      </c>
      <c r="AW33" s="7" t="e">
        <f t="shared" si="29"/>
        <v>#VALUE!</v>
      </c>
      <c r="AX33" s="7" t="e">
        <f t="shared" si="30"/>
        <v>#VALUE!</v>
      </c>
      <c r="AY33" s="7" t="e">
        <f t="shared" si="31"/>
        <v>#VALUE!</v>
      </c>
      <c r="AZ33" s="7" t="e">
        <f t="shared" si="32"/>
        <v>#VALUE!</v>
      </c>
      <c r="BA33" s="7"/>
    </row>
    <row r="34" spans="3:53" x14ac:dyDescent="0.25">
      <c r="P34">
        <f t="shared" si="35"/>
        <v>15.5</v>
      </c>
      <c r="Q34">
        <f t="shared" si="33"/>
        <v>620</v>
      </c>
      <c r="R34" s="7">
        <f t="shared" si="1"/>
        <v>3.5111919749546239</v>
      </c>
      <c r="S34" s="7">
        <f t="shared" si="2"/>
        <v>3.4048473007785605</v>
      </c>
      <c r="T34" s="7">
        <f t="shared" si="3"/>
        <v>4.0969606859943859</v>
      </c>
      <c r="U34" s="7">
        <f t="shared" si="4"/>
        <v>5.8429592353278572</v>
      </c>
      <c r="V34" s="7">
        <f t="shared" si="5"/>
        <v>7.885503911256631</v>
      </c>
      <c r="W34" s="7">
        <f t="shared" si="6"/>
        <v>17.466372855524565</v>
      </c>
      <c r="X34" s="7" t="e">
        <f t="shared" si="7"/>
        <v>#VALUE!</v>
      </c>
      <c r="Y34" s="7" t="e">
        <f t="shared" si="8"/>
        <v>#VALUE!</v>
      </c>
      <c r="Z34" s="7" t="e">
        <f t="shared" si="9"/>
        <v>#VALUE!</v>
      </c>
      <c r="AA34" s="7" t="e">
        <f t="shared" si="10"/>
        <v>#VALUE!</v>
      </c>
      <c r="AB34" s="7" t="e">
        <f t="shared" si="11"/>
        <v>#VALUE!</v>
      </c>
      <c r="AC34" s="7" t="e">
        <f t="shared" si="12"/>
        <v>#VALUE!</v>
      </c>
      <c r="AD34" s="7" t="e">
        <f t="shared" si="13"/>
        <v>#VALUE!</v>
      </c>
      <c r="AE34" s="7" t="e">
        <f t="shared" si="14"/>
        <v>#VALUE!</v>
      </c>
      <c r="AF34" s="7" t="e">
        <f t="shared" si="15"/>
        <v>#VALUE!</v>
      </c>
      <c r="AG34" s="7" t="e">
        <f t="shared" si="16"/>
        <v>#VALUE!</v>
      </c>
      <c r="AH34" s="7">
        <f>$C$12</f>
        <v>3.183098861837907</v>
      </c>
      <c r="AJ34">
        <f t="shared" si="34"/>
        <v>620</v>
      </c>
      <c r="AK34" s="7">
        <f t="shared" si="17"/>
        <v>4.747901418261514</v>
      </c>
      <c r="AL34" s="7">
        <f t="shared" si="18"/>
        <v>4.6987352474202906</v>
      </c>
      <c r="AM34" s="7">
        <f t="shared" si="19"/>
        <v>5.2711066280325385</v>
      </c>
      <c r="AN34" s="7">
        <f t="shared" si="20"/>
        <v>7.0766585641807893</v>
      </c>
      <c r="AO34" s="7">
        <f t="shared" si="21"/>
        <v>9.8060733082993785</v>
      </c>
      <c r="AP34" s="7">
        <f t="shared" si="22"/>
        <v>20.203923421684689</v>
      </c>
      <c r="AQ34" s="7" t="e">
        <f t="shared" si="23"/>
        <v>#VALUE!</v>
      </c>
      <c r="AR34" s="7" t="e">
        <f t="shared" si="24"/>
        <v>#VALUE!</v>
      </c>
      <c r="AS34" s="7" t="e">
        <f t="shared" si="25"/>
        <v>#VALUE!</v>
      </c>
      <c r="AT34" s="7" t="e">
        <f t="shared" si="26"/>
        <v>#VALUE!</v>
      </c>
      <c r="AU34" s="7" t="e">
        <f t="shared" si="27"/>
        <v>#VALUE!</v>
      </c>
      <c r="AV34" s="7" t="e">
        <f t="shared" si="28"/>
        <v>#VALUE!</v>
      </c>
      <c r="AW34" s="7" t="e">
        <f t="shared" si="29"/>
        <v>#VALUE!</v>
      </c>
      <c r="AX34" s="7" t="e">
        <f t="shared" si="30"/>
        <v>#VALUE!</v>
      </c>
      <c r="AY34" s="7" t="e">
        <f t="shared" si="31"/>
        <v>#VALUE!</v>
      </c>
      <c r="AZ34" s="7" t="e">
        <f t="shared" si="32"/>
        <v>#VALUE!</v>
      </c>
      <c r="BA34" s="7"/>
    </row>
    <row r="35" spans="3:53" x14ac:dyDescent="0.25">
      <c r="P35">
        <f t="shared" si="35"/>
        <v>16</v>
      </c>
      <c r="Q35">
        <f t="shared" si="33"/>
        <v>640</v>
      </c>
      <c r="R35" s="7">
        <f t="shared" ref="R35:R66" si="40">SingleCoilTorque($F$14,$G$14,$H$14,$I$14,$J$14,$K$14,$C$2,$M$14,$P35)-$N$14</f>
        <v>2.5442090204297312</v>
      </c>
      <c r="S35" s="7">
        <f t="shared" ref="S35:S66" si="41">SingleCoilTorque($F$15,$G$15,$H$15,$I$15,$J$15,$K$15,$C$2,$M$15,$P35)-$N$15</f>
        <v>2.4511325428710569</v>
      </c>
      <c r="T35" s="7">
        <f t="shared" ref="T35:T66" si="42">SingleCoilTorque($F$16,$G$16,$H$16,$I$16,$J$16,$K$16,$C$2,$M$16,$P35)-$N$16</f>
        <v>3.7756838544739946</v>
      </c>
      <c r="U35" s="7">
        <f t="shared" ref="U35:U66" si="43">SingleCoilTorque($F$17,$G$17,$H$17,$I$17,$J$17,$K$17,$C$2,$M$17,$P35)-$N$17</f>
        <v>5.3499484802289743</v>
      </c>
      <c r="V35" s="7">
        <f t="shared" ref="V35:V66" si="44">SingleCoilTorque($F$18,$G$18,$H$18,$I$18,$J$18,$K$18,$C$2,$M$18,$P35)-$N$18</f>
        <v>7.1062962116917916</v>
      </c>
      <c r="W35" s="7">
        <f t="shared" ref="W35:W66" si="45">SingleCoilTorque($F$19,$G$19,$H$19,$I$19,$J$19,$K$19,$C$2,$M$19,$P35)-$N$19</f>
        <v>16.132787650207192</v>
      </c>
      <c r="X35" s="7" t="e">
        <f t="shared" ref="X35:X66" si="46">SingleCoilTorque($F$20,$G$20,$H$20,$I$20,$J$20,$K$20,$C$2,$M$20,$P35)-$N$20</f>
        <v>#VALUE!</v>
      </c>
      <c r="Y35" s="7" t="e">
        <f t="shared" ref="Y35:Y66" si="47">SingleCoilTorque($F$21,$G$21,$H$21,$I$21,$J$21,$K$21,$C$2,$M$21,$P35)-$N$21</f>
        <v>#VALUE!</v>
      </c>
      <c r="Z35" s="7" t="e">
        <f t="shared" ref="Z35:Z66" si="48">SingleCoilTorque($F$22,$G$22,$H$22,$I$22,$J$22,$K$22,$C$2,$M$22,$P35)-$N$22</f>
        <v>#VALUE!</v>
      </c>
      <c r="AA35" s="7" t="e">
        <f t="shared" ref="AA35:AA66" si="49">SingleCoilTorque($F$23,$G$23,$H$23,$I$23,$J$23,$K$23,$C$2,$M$23,$P35)-$N$23</f>
        <v>#VALUE!</v>
      </c>
      <c r="AB35" s="7" t="e">
        <f t="shared" ref="AB35:AB66" si="50">SingleCoilTorque($F$24,$G$24,$H$24,$I$24,$J$24,$K$24,$C$2,$M$24,$P35)-$N$24</f>
        <v>#VALUE!</v>
      </c>
      <c r="AC35" s="7" t="e">
        <f t="shared" ref="AC35:AC66" si="51">SingleCoilTorque($F$25,$G$25,$H$25,$I$25,$J$25,$K$25,$C$2,$M$25,$P35)-$N$25</f>
        <v>#VALUE!</v>
      </c>
      <c r="AD35" s="7" t="e">
        <f t="shared" ref="AD35:AD66" si="52">SingleCoilTorque($F$26,$G$26,$H$26,$I$26,$J$26,$K$26,$C$2,$M$26,$P35)-$N$26</f>
        <v>#VALUE!</v>
      </c>
      <c r="AE35" s="7" t="e">
        <f t="shared" ref="AE35:AE66" si="53">SingleCoilTorque($F$27,$G$27,$H$27,$I$27,$J$27,$K$27,$C$2,$M$27,$P35)-$N$27</f>
        <v>#VALUE!</v>
      </c>
      <c r="AF35" s="7" t="e">
        <f t="shared" ref="AF35:AF66" si="54">SingleCoilTorque($F$28,$G$28,$H$28,$I$28,$J$28,$K$28,$C$2,$M$28,$P35)-$N$28</f>
        <v>#VALUE!</v>
      </c>
      <c r="AG35" s="7" t="e">
        <f t="shared" ref="AG35:AG66" si="55">SingleCoilTorque($F$29,$G$29,$H$29,$I$29,$J$29,$K$29,$C$2,$M$29,$P35)-$N$29</f>
        <v>#VALUE!</v>
      </c>
      <c r="AH35" s="7">
        <f>$C$12</f>
        <v>3.183098861837907</v>
      </c>
      <c r="AJ35">
        <f t="shared" si="34"/>
        <v>640</v>
      </c>
      <c r="AK35" s="7">
        <f t="shared" ref="AK35:AK66" si="56">StepperPower($F$14,$G$14,$H$14,$I$14,$J$14,$K$14,$C$2,$M$14,$P35)</f>
        <v>3.8997345376203754</v>
      </c>
      <c r="AL35" s="7">
        <f t="shared" ref="AL35:AL66" si="57">StepperPower($F$15,$G$15,$H$15,$I$15,$J$15,$K$15,$C$2,$M$15,$P35)</f>
        <v>3.8590006925005205</v>
      </c>
      <c r="AM35" s="7">
        <f t="shared" ref="AM35:AM66" si="58">StepperPower($F$16,$G$16,$H$16,$I$16,$J$16,$K$16,$C$2,$M$16,$P35)</f>
        <v>5.0885649772207078</v>
      </c>
      <c r="AN35" s="7">
        <f t="shared" ref="AN35:AN66" si="59">StepperPower($F$17,$G$17,$H$17,$I$17,$J$17,$K$17,$C$2,$M$17,$P35)</f>
        <v>6.7505284308531532</v>
      </c>
      <c r="AO35" s="7">
        <f t="shared" ref="AO35:AO66" si="60">StepperPower($F$18,$G$18,$H$18,$I$18,$J$18,$K$18,$C$2,$M$18,$P35)</f>
        <v>9.2851313086993805</v>
      </c>
      <c r="AP35" s="7">
        <f t="shared" ref="AP35:AP66" si="61">StepperPower($F$19,$G$19,$H$19,$I$19,$J$19,$K$19,$C$2,$M$19,$P35)</f>
        <v>19.290451257687444</v>
      </c>
      <c r="AQ35" s="7" t="e">
        <f t="shared" ref="AQ35:AQ66" si="62">StepperPower($F$20,$G$20,$H$20,$I$20,$J$20,$K$20,$C$2,$M$20,$P35)</f>
        <v>#VALUE!</v>
      </c>
      <c r="AR35" s="7" t="e">
        <f t="shared" ref="AR35:AR66" si="63">StepperPower($F$21,$G$21,$H$21,$I$21,$J$21,$K$21,$C$2,$M$21,$P35)</f>
        <v>#VALUE!</v>
      </c>
      <c r="AS35" s="7" t="e">
        <f t="shared" ref="AS35:AS66" si="64">StepperPower($F$22,$G$22,$H$22,$I$22,$J$22,$K$22,$C$2,$M$22,$P35)</f>
        <v>#VALUE!</v>
      </c>
      <c r="AT35" s="7" t="e">
        <f t="shared" ref="AT35:AT66" si="65">StepperPower($F$23,$G$23,$H$23,$I$23,$J$23,$K$23,$C$2,$M$23,$P35)</f>
        <v>#VALUE!</v>
      </c>
      <c r="AU35" s="7" t="e">
        <f t="shared" ref="AU35:AU66" si="66">StepperPower($F$24,$G$24,$H$24,$I$24,$J$24,$K$24,$C$2,$M$24,$P35)</f>
        <v>#VALUE!</v>
      </c>
      <c r="AV35" s="7" t="e">
        <f t="shared" ref="AV35:AV66" si="67">StepperPower($F$25,$G$25,$H$25,$I$25,$J$25,$K$25,$C$2,$M$25,$P35)</f>
        <v>#VALUE!</v>
      </c>
      <c r="AW35" s="7" t="e">
        <f t="shared" ref="AW35:AW66" si="68">StepperPower($F$26,$G$26,$H$26,$I$26,$J$26,$K$26,$C$2,$M$26,$P35)</f>
        <v>#VALUE!</v>
      </c>
      <c r="AX35" s="7" t="e">
        <f t="shared" ref="AX35:AX66" si="69">StepperPower($F$27,$G$27,$H$27,$I$27,$J$27,$K$27,$C$2,$M$27,$P35)</f>
        <v>#VALUE!</v>
      </c>
      <c r="AY35" s="7" t="e">
        <f t="shared" ref="AY35:AY66" si="70">StepperPower($F$28,$G$28,$H$28,$I$28,$J$28,$K$28,$C$2,$M$28,$P35)</f>
        <v>#VALUE!</v>
      </c>
      <c r="AZ35" s="7" t="e">
        <f t="shared" ref="AZ35:AZ66" si="71">StepperPower($F$29,$G$29,$H$29,$I$29,$J$29,$K$29,$C$2,$M$29,$P35)</f>
        <v>#VALUE!</v>
      </c>
      <c r="BA35" s="7"/>
    </row>
    <row r="36" spans="3:53" x14ac:dyDescent="0.25">
      <c r="P36">
        <f t="shared" si="35"/>
        <v>16.5</v>
      </c>
      <c r="Q36">
        <f t="shared" si="33"/>
        <v>660</v>
      </c>
      <c r="R36" s="7">
        <f t="shared" si="40"/>
        <v>1.6309906815703474</v>
      </c>
      <c r="S36" s="7">
        <f t="shared" si="41"/>
        <v>1.5498263097429683</v>
      </c>
      <c r="T36" s="7">
        <f t="shared" si="42"/>
        <v>3.4731674180577352</v>
      </c>
      <c r="U36" s="7">
        <f t="shared" si="43"/>
        <v>4.8848641634415335</v>
      </c>
      <c r="V36" s="7">
        <f t="shared" si="44"/>
        <v>6.3721403617845436</v>
      </c>
      <c r="W36" s="7">
        <f t="shared" si="45"/>
        <v>14.872915409625381</v>
      </c>
      <c r="X36" s="7" t="e">
        <f t="shared" si="46"/>
        <v>#VALUE!</v>
      </c>
      <c r="Y36" s="7" t="e">
        <f t="shared" si="47"/>
        <v>#VALUE!</v>
      </c>
      <c r="Z36" s="7" t="e">
        <f t="shared" si="48"/>
        <v>#VALUE!</v>
      </c>
      <c r="AA36" s="7" t="e">
        <f t="shared" si="49"/>
        <v>#VALUE!</v>
      </c>
      <c r="AB36" s="7" t="e">
        <f t="shared" si="50"/>
        <v>#VALUE!</v>
      </c>
      <c r="AC36" s="7" t="e">
        <f t="shared" si="51"/>
        <v>#VALUE!</v>
      </c>
      <c r="AD36" s="7" t="e">
        <f t="shared" si="52"/>
        <v>#VALUE!</v>
      </c>
      <c r="AE36" s="7" t="e">
        <f t="shared" si="53"/>
        <v>#VALUE!</v>
      </c>
      <c r="AF36" s="7" t="e">
        <f t="shared" si="54"/>
        <v>#VALUE!</v>
      </c>
      <c r="AG36" s="7" t="e">
        <f t="shared" si="55"/>
        <v>#VALUE!</v>
      </c>
      <c r="AH36" s="7">
        <f>$C$12</f>
        <v>3.183098861837907</v>
      </c>
      <c r="AJ36">
        <f t="shared" si="34"/>
        <v>660</v>
      </c>
      <c r="AK36" s="7">
        <f t="shared" si="56"/>
        <v>3.0535651352185704</v>
      </c>
      <c r="AL36" s="7">
        <f t="shared" si="57"/>
        <v>3.0214645705469216</v>
      </c>
      <c r="AM36" s="7">
        <f t="shared" si="58"/>
        <v>4.9080026952223577</v>
      </c>
      <c r="AN36" s="7">
        <f t="shared" si="59"/>
        <v>6.4283011207589196</v>
      </c>
      <c r="AO36" s="7">
        <f t="shared" si="60"/>
        <v>8.767899439894574</v>
      </c>
      <c r="AP36" s="7">
        <f t="shared" si="61"/>
        <v>18.391451639022716</v>
      </c>
      <c r="AQ36" s="7" t="e">
        <f t="shared" si="62"/>
        <v>#VALUE!</v>
      </c>
      <c r="AR36" s="7" t="e">
        <f t="shared" si="63"/>
        <v>#VALUE!</v>
      </c>
      <c r="AS36" s="7" t="e">
        <f t="shared" si="64"/>
        <v>#VALUE!</v>
      </c>
      <c r="AT36" s="7" t="e">
        <f t="shared" si="65"/>
        <v>#VALUE!</v>
      </c>
      <c r="AU36" s="7" t="e">
        <f t="shared" si="66"/>
        <v>#VALUE!</v>
      </c>
      <c r="AV36" s="7" t="e">
        <f t="shared" si="67"/>
        <v>#VALUE!</v>
      </c>
      <c r="AW36" s="7" t="e">
        <f t="shared" si="68"/>
        <v>#VALUE!</v>
      </c>
      <c r="AX36" s="7" t="e">
        <f t="shared" si="69"/>
        <v>#VALUE!</v>
      </c>
      <c r="AY36" s="7" t="e">
        <f t="shared" si="70"/>
        <v>#VALUE!</v>
      </c>
      <c r="AZ36" s="7" t="e">
        <f t="shared" si="71"/>
        <v>#VALUE!</v>
      </c>
      <c r="BA36" s="7"/>
    </row>
    <row r="37" spans="3:53" x14ac:dyDescent="0.25">
      <c r="P37">
        <f t="shared" si="35"/>
        <v>17</v>
      </c>
      <c r="Q37">
        <f t="shared" si="33"/>
        <v>680</v>
      </c>
      <c r="R37" s="7">
        <f t="shared" si="40"/>
        <v>0.76717424341830309</v>
      </c>
      <c r="S37" s="7">
        <f t="shared" si="41"/>
        <v>0.69672419254111628</v>
      </c>
      <c r="T37" s="7">
        <f t="shared" si="42"/>
        <v>3.1878147718339394</v>
      </c>
      <c r="U37" s="7">
        <f t="shared" si="43"/>
        <v>4.4453988116147354</v>
      </c>
      <c r="V37" s="7">
        <f t="shared" si="44"/>
        <v>5.67923896094731</v>
      </c>
      <c r="W37" s="7">
        <f t="shared" si="45"/>
        <v>13.68080885281972</v>
      </c>
      <c r="X37" s="7" t="e">
        <f t="shared" si="46"/>
        <v>#VALUE!</v>
      </c>
      <c r="Y37" s="7" t="e">
        <f t="shared" si="47"/>
        <v>#VALUE!</v>
      </c>
      <c r="Z37" s="7" t="e">
        <f t="shared" si="48"/>
        <v>#VALUE!</v>
      </c>
      <c r="AA37" s="7" t="e">
        <f t="shared" si="49"/>
        <v>#VALUE!</v>
      </c>
      <c r="AB37" s="7" t="e">
        <f t="shared" si="50"/>
        <v>#VALUE!</v>
      </c>
      <c r="AC37" s="7" t="e">
        <f t="shared" si="51"/>
        <v>#VALUE!</v>
      </c>
      <c r="AD37" s="7" t="e">
        <f t="shared" si="52"/>
        <v>#VALUE!</v>
      </c>
      <c r="AE37" s="7" t="e">
        <f t="shared" si="53"/>
        <v>#VALUE!</v>
      </c>
      <c r="AF37" s="7" t="e">
        <f t="shared" si="54"/>
        <v>#VALUE!</v>
      </c>
      <c r="AG37" s="7" t="e">
        <f t="shared" si="55"/>
        <v>#VALUE!</v>
      </c>
      <c r="AH37" s="7">
        <f>$C$12</f>
        <v>3.183098861837907</v>
      </c>
      <c r="AJ37">
        <f t="shared" si="34"/>
        <v>680</v>
      </c>
      <c r="AK37" s="7">
        <f t="shared" si="56"/>
        <v>2.208795099221744</v>
      </c>
      <c r="AL37" s="7">
        <f t="shared" si="57"/>
        <v>2.1854706409208089</v>
      </c>
      <c r="AM37" s="7">
        <f t="shared" si="58"/>
        <v>4.7291392647105699</v>
      </c>
      <c r="AN37" s="7">
        <f t="shared" si="59"/>
        <v>6.109394654966553</v>
      </c>
      <c r="AO37" s="7">
        <f t="shared" si="60"/>
        <v>8.2537875558828784</v>
      </c>
      <c r="AP37" s="7">
        <f t="shared" si="61"/>
        <v>17.504826372557947</v>
      </c>
      <c r="AQ37" s="7" t="e">
        <f t="shared" si="62"/>
        <v>#VALUE!</v>
      </c>
      <c r="AR37" s="7" t="e">
        <f t="shared" si="63"/>
        <v>#VALUE!</v>
      </c>
      <c r="AS37" s="7" t="e">
        <f t="shared" si="64"/>
        <v>#VALUE!</v>
      </c>
      <c r="AT37" s="7" t="e">
        <f t="shared" si="65"/>
        <v>#VALUE!</v>
      </c>
      <c r="AU37" s="7" t="e">
        <f t="shared" si="66"/>
        <v>#VALUE!</v>
      </c>
      <c r="AV37" s="7" t="e">
        <f t="shared" si="67"/>
        <v>#VALUE!</v>
      </c>
      <c r="AW37" s="7" t="e">
        <f t="shared" si="68"/>
        <v>#VALUE!</v>
      </c>
      <c r="AX37" s="7" t="e">
        <f t="shared" si="69"/>
        <v>#VALUE!</v>
      </c>
      <c r="AY37" s="7" t="e">
        <f t="shared" si="70"/>
        <v>#VALUE!</v>
      </c>
      <c r="AZ37" s="7" t="e">
        <f t="shared" si="71"/>
        <v>#VALUE!</v>
      </c>
      <c r="BA37" s="7"/>
    </row>
    <row r="38" spans="3:53" x14ac:dyDescent="0.25">
      <c r="P38">
        <f t="shared" si="35"/>
        <v>17.5</v>
      </c>
      <c r="Q38">
        <f t="shared" si="33"/>
        <v>700</v>
      </c>
      <c r="R38" s="7">
        <f t="shared" si="40"/>
        <v>-5.1143424852634123E-2</v>
      </c>
      <c r="S38" s="7">
        <f t="shared" si="41"/>
        <v>-0.11194020592577014</v>
      </c>
      <c r="T38" s="7">
        <f t="shared" si="42"/>
        <v>2.91820548536022</v>
      </c>
      <c r="U38" s="7">
        <f t="shared" si="43"/>
        <v>4.0294923497905195</v>
      </c>
      <c r="V38" s="7">
        <f t="shared" si="44"/>
        <v>5.0242097203628777</v>
      </c>
      <c r="W38" s="7">
        <f t="shared" si="45"/>
        <v>12.551143724883067</v>
      </c>
      <c r="X38" s="7" t="e">
        <f t="shared" si="46"/>
        <v>#VALUE!</v>
      </c>
      <c r="Y38" s="7" t="e">
        <f t="shared" si="47"/>
        <v>#VALUE!</v>
      </c>
      <c r="Z38" s="7" t="e">
        <f t="shared" si="48"/>
        <v>#VALUE!</v>
      </c>
      <c r="AA38" s="7" t="e">
        <f t="shared" si="49"/>
        <v>#VALUE!</v>
      </c>
      <c r="AB38" s="7" t="e">
        <f t="shared" si="50"/>
        <v>#VALUE!</v>
      </c>
      <c r="AC38" s="7" t="e">
        <f t="shared" si="51"/>
        <v>#VALUE!</v>
      </c>
      <c r="AD38" s="7" t="e">
        <f t="shared" si="52"/>
        <v>#VALUE!</v>
      </c>
      <c r="AE38" s="7" t="e">
        <f t="shared" si="53"/>
        <v>#VALUE!</v>
      </c>
      <c r="AF38" s="7" t="e">
        <f t="shared" si="54"/>
        <v>#VALUE!</v>
      </c>
      <c r="AG38" s="7" t="e">
        <f t="shared" si="55"/>
        <v>#VALUE!</v>
      </c>
      <c r="AH38" s="7">
        <f>$C$12</f>
        <v>3.183098861837907</v>
      </c>
      <c r="AJ38">
        <f t="shared" si="34"/>
        <v>700</v>
      </c>
      <c r="AK38" s="7">
        <f t="shared" si="56"/>
        <v>1.3649340480342043</v>
      </c>
      <c r="AL38" s="7">
        <f t="shared" si="57"/>
        <v>1.3504797203748891</v>
      </c>
      <c r="AM38" s="7">
        <f t="shared" si="58"/>
        <v>4.5517371458111615</v>
      </c>
      <c r="AN38" s="7">
        <f t="shared" si="59"/>
        <v>5.7933165290146134</v>
      </c>
      <c r="AO38" s="7">
        <f t="shared" si="60"/>
        <v>7.742299519697653</v>
      </c>
      <c r="AP38" s="7">
        <f t="shared" si="61"/>
        <v>16.628791995042924</v>
      </c>
      <c r="AQ38" s="7" t="e">
        <f t="shared" si="62"/>
        <v>#VALUE!</v>
      </c>
      <c r="AR38" s="7" t="e">
        <f t="shared" si="63"/>
        <v>#VALUE!</v>
      </c>
      <c r="AS38" s="7" t="e">
        <f t="shared" si="64"/>
        <v>#VALUE!</v>
      </c>
      <c r="AT38" s="7" t="e">
        <f t="shared" si="65"/>
        <v>#VALUE!</v>
      </c>
      <c r="AU38" s="7" t="e">
        <f t="shared" si="66"/>
        <v>#VALUE!</v>
      </c>
      <c r="AV38" s="7" t="e">
        <f t="shared" si="67"/>
        <v>#VALUE!</v>
      </c>
      <c r="AW38" s="7" t="e">
        <f t="shared" si="68"/>
        <v>#VALUE!</v>
      </c>
      <c r="AX38" s="7" t="e">
        <f t="shared" si="69"/>
        <v>#VALUE!</v>
      </c>
      <c r="AY38" s="7" t="e">
        <f t="shared" si="70"/>
        <v>#VALUE!</v>
      </c>
      <c r="AZ38" s="7" t="e">
        <f t="shared" si="71"/>
        <v>#VALUE!</v>
      </c>
      <c r="BA38" s="7"/>
    </row>
    <row r="39" spans="3:53" x14ac:dyDescent="0.25">
      <c r="P39">
        <f t="shared" si="35"/>
        <v>18</v>
      </c>
      <c r="Q39">
        <f t="shared" si="33"/>
        <v>720</v>
      </c>
      <c r="R39" s="7">
        <f t="shared" si="40"/>
        <v>-0.82746483485543232</v>
      </c>
      <c r="S39" s="7">
        <f t="shared" si="41"/>
        <v>-0.87955086290585593</v>
      </c>
      <c r="T39" s="7">
        <f t="shared" si="42"/>
        <v>2.6630716554265086</v>
      </c>
      <c r="U39" s="7">
        <f t="shared" si="43"/>
        <v>3.6352998105519045</v>
      </c>
      <c r="V39" s="7">
        <f t="shared" si="44"/>
        <v>4.4040302496108827</v>
      </c>
      <c r="W39" s="7">
        <f t="shared" si="45"/>
        <v>11.47913929526498</v>
      </c>
      <c r="X39" s="7" t="e">
        <f t="shared" si="46"/>
        <v>#VALUE!</v>
      </c>
      <c r="Y39" s="7" t="e">
        <f t="shared" si="47"/>
        <v>#VALUE!</v>
      </c>
      <c r="Z39" s="7" t="e">
        <f t="shared" si="48"/>
        <v>#VALUE!</v>
      </c>
      <c r="AA39" s="7" t="e">
        <f t="shared" si="49"/>
        <v>#VALUE!</v>
      </c>
      <c r="AB39" s="7" t="e">
        <f t="shared" si="50"/>
        <v>#VALUE!</v>
      </c>
      <c r="AC39" s="7" t="e">
        <f t="shared" si="51"/>
        <v>#VALUE!</v>
      </c>
      <c r="AD39" s="7" t="e">
        <f t="shared" si="52"/>
        <v>#VALUE!</v>
      </c>
      <c r="AE39" s="7" t="e">
        <f t="shared" si="53"/>
        <v>#VALUE!</v>
      </c>
      <c r="AF39" s="7" t="e">
        <f t="shared" si="54"/>
        <v>#VALUE!</v>
      </c>
      <c r="AG39" s="7" t="e">
        <f t="shared" si="55"/>
        <v>#VALUE!</v>
      </c>
      <c r="AH39" s="7">
        <f>$C$12</f>
        <v>3.183098861837907</v>
      </c>
      <c r="AJ39">
        <f t="shared" si="34"/>
        <v>720</v>
      </c>
      <c r="AK39" s="7">
        <f t="shared" si="56"/>
        <v>0.52157991769722922</v>
      </c>
      <c r="AL39" s="7">
        <f t="shared" si="57"/>
        <v>0.51604880342921389</v>
      </c>
      <c r="AM39" s="7">
        <f t="shared" si="58"/>
        <v>4.3755944367546187</v>
      </c>
      <c r="AN39" s="7">
        <f t="shared" si="59"/>
        <v>5.4796485926837724</v>
      </c>
      <c r="AO39" s="7">
        <f t="shared" si="60"/>
        <v>7.233016880378222</v>
      </c>
      <c r="AP39" s="7">
        <f t="shared" si="61"/>
        <v>15.761827807676125</v>
      </c>
      <c r="AQ39" s="7" t="e">
        <f t="shared" si="62"/>
        <v>#VALUE!</v>
      </c>
      <c r="AR39" s="7" t="e">
        <f t="shared" si="63"/>
        <v>#VALUE!</v>
      </c>
      <c r="AS39" s="7" t="e">
        <f t="shared" si="64"/>
        <v>#VALUE!</v>
      </c>
      <c r="AT39" s="7" t="e">
        <f t="shared" si="65"/>
        <v>#VALUE!</v>
      </c>
      <c r="AU39" s="7" t="e">
        <f t="shared" si="66"/>
        <v>#VALUE!</v>
      </c>
      <c r="AV39" s="7" t="e">
        <f t="shared" si="67"/>
        <v>#VALUE!</v>
      </c>
      <c r="AW39" s="7" t="e">
        <f t="shared" si="68"/>
        <v>#VALUE!</v>
      </c>
      <c r="AX39" s="7" t="e">
        <f t="shared" si="69"/>
        <v>#VALUE!</v>
      </c>
      <c r="AY39" s="7" t="e">
        <f t="shared" si="70"/>
        <v>#VALUE!</v>
      </c>
      <c r="AZ39" s="7" t="e">
        <f t="shared" si="71"/>
        <v>#VALUE!</v>
      </c>
      <c r="BA39" s="7"/>
    </row>
    <row r="40" spans="3:53" x14ac:dyDescent="0.25">
      <c r="P40">
        <f t="shared" si="35"/>
        <v>18.5</v>
      </c>
      <c r="Q40">
        <f t="shared" si="33"/>
        <v>740</v>
      </c>
      <c r="R40" s="7">
        <f t="shared" si="40"/>
        <v>-1.288052987971815</v>
      </c>
      <c r="S40" s="7">
        <f t="shared" si="41"/>
        <v>-1.3351768777756619</v>
      </c>
      <c r="T40" s="7">
        <f t="shared" si="42"/>
        <v>2.4212779681362364</v>
      </c>
      <c r="U40" s="7">
        <f t="shared" si="43"/>
        <v>3.2611639720922145</v>
      </c>
      <c r="V40" s="7">
        <f t="shared" si="44"/>
        <v>3.8159914275528379</v>
      </c>
      <c r="W40" s="7">
        <f t="shared" si="45"/>
        <v>10.460490726963966</v>
      </c>
      <c r="X40" s="7" t="e">
        <f t="shared" si="46"/>
        <v>#VALUE!</v>
      </c>
      <c r="Y40" s="7" t="e">
        <f t="shared" si="47"/>
        <v>#VALUE!</v>
      </c>
      <c r="Z40" s="7" t="e">
        <f t="shared" si="48"/>
        <v>#VALUE!</v>
      </c>
      <c r="AA40" s="7" t="e">
        <f t="shared" si="49"/>
        <v>#VALUE!</v>
      </c>
      <c r="AB40" s="7" t="e">
        <f t="shared" si="50"/>
        <v>#VALUE!</v>
      </c>
      <c r="AC40" s="7" t="e">
        <f t="shared" si="51"/>
        <v>#VALUE!</v>
      </c>
      <c r="AD40" s="7" t="e">
        <f t="shared" si="52"/>
        <v>#VALUE!</v>
      </c>
      <c r="AE40" s="7" t="e">
        <f t="shared" si="53"/>
        <v>#VALUE!</v>
      </c>
      <c r="AF40" s="7" t="e">
        <f t="shared" si="54"/>
        <v>#VALUE!</v>
      </c>
      <c r="AG40" s="7" t="e">
        <f t="shared" si="55"/>
        <v>#VALUE!</v>
      </c>
      <c r="AH40" s="7">
        <f>$C$12</f>
        <v>3.183098861837907</v>
      </c>
      <c r="AJ40">
        <f t="shared" si="34"/>
        <v>740</v>
      </c>
      <c r="AK40" s="7">
        <f t="shared" si="56"/>
        <v>0</v>
      </c>
      <c r="AL40" s="7">
        <f t="shared" si="57"/>
        <v>0</v>
      </c>
      <c r="AM40" s="7">
        <f t="shared" si="58"/>
        <v>4.2005389257134187</v>
      </c>
      <c r="AN40" s="7">
        <f t="shared" si="59"/>
        <v>5.1680347497480152</v>
      </c>
      <c r="AO40" s="7">
        <f t="shared" si="60"/>
        <v>6.7255856661269817</v>
      </c>
      <c r="AP40" s="7">
        <f t="shared" si="61"/>
        <v>14.902633388629758</v>
      </c>
      <c r="AQ40" s="7" t="e">
        <f t="shared" si="62"/>
        <v>#VALUE!</v>
      </c>
      <c r="AR40" s="7" t="e">
        <f t="shared" si="63"/>
        <v>#VALUE!</v>
      </c>
      <c r="AS40" s="7" t="e">
        <f t="shared" si="64"/>
        <v>#VALUE!</v>
      </c>
      <c r="AT40" s="7" t="e">
        <f t="shared" si="65"/>
        <v>#VALUE!</v>
      </c>
      <c r="AU40" s="7" t="e">
        <f t="shared" si="66"/>
        <v>#VALUE!</v>
      </c>
      <c r="AV40" s="7" t="e">
        <f t="shared" si="67"/>
        <v>#VALUE!</v>
      </c>
      <c r="AW40" s="7" t="e">
        <f t="shared" si="68"/>
        <v>#VALUE!</v>
      </c>
      <c r="AX40" s="7" t="e">
        <f t="shared" si="69"/>
        <v>#VALUE!</v>
      </c>
      <c r="AY40" s="7" t="e">
        <f t="shared" si="70"/>
        <v>#VALUE!</v>
      </c>
      <c r="AZ40" s="7" t="e">
        <f t="shared" si="71"/>
        <v>#VALUE!</v>
      </c>
      <c r="BA40" s="7"/>
    </row>
    <row r="41" spans="3:53" x14ac:dyDescent="0.25">
      <c r="C41" s="1"/>
      <c r="E41" s="1"/>
      <c r="P41">
        <f t="shared" si="35"/>
        <v>19</v>
      </c>
      <c r="Q41">
        <f t="shared" si="33"/>
        <v>760</v>
      </c>
      <c r="R41" s="7">
        <f t="shared" si="40"/>
        <v>-1.288052987971815</v>
      </c>
      <c r="S41" s="7">
        <f t="shared" si="41"/>
        <v>-1.3351768777756619</v>
      </c>
      <c r="T41" s="7">
        <f t="shared" si="42"/>
        <v>2.1918048087802995</v>
      </c>
      <c r="U41" s="7">
        <f t="shared" si="43"/>
        <v>2.9055920692311163</v>
      </c>
      <c r="V41" s="7">
        <f t="shared" si="44"/>
        <v>3.2576578397341658</v>
      </c>
      <c r="W41" s="7">
        <f t="shared" si="45"/>
        <v>9.4913112988859822</v>
      </c>
      <c r="X41" s="7" t="e">
        <f t="shared" si="46"/>
        <v>#VALUE!</v>
      </c>
      <c r="Y41" s="7" t="e">
        <f t="shared" si="47"/>
        <v>#VALUE!</v>
      </c>
      <c r="Z41" s="7" t="e">
        <f t="shared" si="48"/>
        <v>#VALUE!</v>
      </c>
      <c r="AA41" s="7" t="e">
        <f t="shared" si="49"/>
        <v>#VALUE!</v>
      </c>
      <c r="AB41" s="7" t="e">
        <f t="shared" si="50"/>
        <v>#VALUE!</v>
      </c>
      <c r="AC41" s="7" t="e">
        <f t="shared" si="51"/>
        <v>#VALUE!</v>
      </c>
      <c r="AD41" s="7" t="e">
        <f t="shared" si="52"/>
        <v>#VALUE!</v>
      </c>
      <c r="AE41" s="7" t="e">
        <f t="shared" si="53"/>
        <v>#VALUE!</v>
      </c>
      <c r="AF41" s="7" t="e">
        <f t="shared" si="54"/>
        <v>#VALUE!</v>
      </c>
      <c r="AG41" s="7" t="e">
        <f t="shared" si="55"/>
        <v>#VALUE!</v>
      </c>
      <c r="AH41" s="7">
        <f>$C$12</f>
        <v>3.183098861837907</v>
      </c>
      <c r="AJ41">
        <f t="shared" si="34"/>
        <v>760</v>
      </c>
      <c r="AK41" s="7">
        <f t="shared" si="56"/>
        <v>0</v>
      </c>
      <c r="AL41" s="7">
        <f t="shared" si="57"/>
        <v>0</v>
      </c>
      <c r="AM41" s="7">
        <f t="shared" si="58"/>
        <v>4.0264232440191225</v>
      </c>
      <c r="AN41" s="7">
        <f t="shared" si="59"/>
        <v>4.8581709012663952</v>
      </c>
      <c r="AO41" s="7">
        <f t="shared" si="60"/>
        <v>6.2197056430181501</v>
      </c>
      <c r="AP41" s="7">
        <f t="shared" si="61"/>
        <v>14.05009368750888</v>
      </c>
      <c r="AQ41" s="7" t="e">
        <f t="shared" si="62"/>
        <v>#VALUE!</v>
      </c>
      <c r="AR41" s="7" t="e">
        <f t="shared" si="63"/>
        <v>#VALUE!</v>
      </c>
      <c r="AS41" s="7" t="e">
        <f t="shared" si="64"/>
        <v>#VALUE!</v>
      </c>
      <c r="AT41" s="7" t="e">
        <f t="shared" si="65"/>
        <v>#VALUE!</v>
      </c>
      <c r="AU41" s="7" t="e">
        <f t="shared" si="66"/>
        <v>#VALUE!</v>
      </c>
      <c r="AV41" s="7" t="e">
        <f t="shared" si="67"/>
        <v>#VALUE!</v>
      </c>
      <c r="AW41" s="7" t="e">
        <f t="shared" si="68"/>
        <v>#VALUE!</v>
      </c>
      <c r="AX41" s="7" t="e">
        <f t="shared" si="69"/>
        <v>#VALUE!</v>
      </c>
      <c r="AY41" s="7" t="e">
        <f t="shared" si="70"/>
        <v>#VALUE!</v>
      </c>
      <c r="AZ41" s="7" t="e">
        <f t="shared" si="71"/>
        <v>#VALUE!</v>
      </c>
      <c r="BA41" s="7"/>
    </row>
    <row r="42" spans="3:53" x14ac:dyDescent="0.25">
      <c r="C42" s="1"/>
      <c r="E42" s="1"/>
      <c r="P42">
        <f t="shared" si="35"/>
        <v>19.5</v>
      </c>
      <c r="Q42">
        <f t="shared" si="33"/>
        <v>780</v>
      </c>
      <c r="R42" s="7">
        <f t="shared" si="40"/>
        <v>-1.288052987971815</v>
      </c>
      <c r="S42" s="7">
        <f t="shared" si="41"/>
        <v>-1.3351768777756619</v>
      </c>
      <c r="T42" s="7">
        <f t="shared" si="42"/>
        <v>1.9737338894600103</v>
      </c>
      <c r="U42" s="7">
        <f t="shared" si="43"/>
        <v>2.5672358871780396</v>
      </c>
      <c r="V42" s="7">
        <f t="shared" si="44"/>
        <v>2.7268340636860566</v>
      </c>
      <c r="W42" s="7">
        <f t="shared" si="45"/>
        <v>8.5680828463066145</v>
      </c>
      <c r="X42" s="7" t="e">
        <f t="shared" si="46"/>
        <v>#VALUE!</v>
      </c>
      <c r="Y42" s="7" t="e">
        <f t="shared" si="47"/>
        <v>#VALUE!</v>
      </c>
      <c r="Z42" s="7" t="e">
        <f t="shared" si="48"/>
        <v>#VALUE!</v>
      </c>
      <c r="AA42" s="7" t="e">
        <f t="shared" si="49"/>
        <v>#VALUE!</v>
      </c>
      <c r="AB42" s="7" t="e">
        <f t="shared" si="50"/>
        <v>#VALUE!</v>
      </c>
      <c r="AC42" s="7" t="e">
        <f t="shared" si="51"/>
        <v>#VALUE!</v>
      </c>
      <c r="AD42" s="7" t="e">
        <f t="shared" si="52"/>
        <v>#VALUE!</v>
      </c>
      <c r="AE42" s="7" t="e">
        <f t="shared" si="53"/>
        <v>#VALUE!</v>
      </c>
      <c r="AF42" s="7" t="e">
        <f t="shared" si="54"/>
        <v>#VALUE!</v>
      </c>
      <c r="AG42" s="7" t="e">
        <f t="shared" si="55"/>
        <v>#VALUE!</v>
      </c>
      <c r="AH42" s="7">
        <f>$C$12</f>
        <v>3.183098861837907</v>
      </c>
      <c r="AJ42">
        <f t="shared" si="34"/>
        <v>780</v>
      </c>
      <c r="AK42" s="7">
        <f t="shared" si="56"/>
        <v>0</v>
      </c>
      <c r="AL42" s="7">
        <f t="shared" si="57"/>
        <v>0</v>
      </c>
      <c r="AM42" s="7">
        <f t="shared" si="58"/>
        <v>3.8531208966360158</v>
      </c>
      <c r="AN42" s="7">
        <f t="shared" si="59"/>
        <v>4.5497966840009703</v>
      </c>
      <c r="AO42" s="7">
        <f t="shared" si="60"/>
        <v>5.7151215360146468</v>
      </c>
      <c r="AP42" s="7">
        <f t="shared" si="61"/>
        <v>13.20325021807453</v>
      </c>
      <c r="AQ42" s="7" t="e">
        <f t="shared" si="62"/>
        <v>#VALUE!</v>
      </c>
      <c r="AR42" s="7" t="e">
        <f t="shared" si="63"/>
        <v>#VALUE!</v>
      </c>
      <c r="AS42" s="7" t="e">
        <f t="shared" si="64"/>
        <v>#VALUE!</v>
      </c>
      <c r="AT42" s="7" t="e">
        <f t="shared" si="65"/>
        <v>#VALUE!</v>
      </c>
      <c r="AU42" s="7" t="e">
        <f t="shared" si="66"/>
        <v>#VALUE!</v>
      </c>
      <c r="AV42" s="7" t="e">
        <f t="shared" si="67"/>
        <v>#VALUE!</v>
      </c>
      <c r="AW42" s="7" t="e">
        <f t="shared" si="68"/>
        <v>#VALUE!</v>
      </c>
      <c r="AX42" s="7" t="e">
        <f t="shared" si="69"/>
        <v>#VALUE!</v>
      </c>
      <c r="AY42" s="7" t="e">
        <f t="shared" si="70"/>
        <v>#VALUE!</v>
      </c>
      <c r="AZ42" s="7" t="e">
        <f t="shared" si="71"/>
        <v>#VALUE!</v>
      </c>
      <c r="BA42" s="7"/>
    </row>
    <row r="43" spans="3:53" x14ac:dyDescent="0.25">
      <c r="C43" s="1"/>
      <c r="E43" s="1"/>
      <c r="P43">
        <f t="shared" si="35"/>
        <v>20</v>
      </c>
      <c r="Q43">
        <f t="shared" si="33"/>
        <v>800</v>
      </c>
      <c r="R43" s="7">
        <f t="shared" si="40"/>
        <v>-1.288052987971815</v>
      </c>
      <c r="S43" s="7">
        <f t="shared" si="41"/>
        <v>-1.3351768777756619</v>
      </c>
      <c r="T43" s="7">
        <f t="shared" si="42"/>
        <v>1.766235967210259</v>
      </c>
      <c r="U43" s="7">
        <f t="shared" si="43"/>
        <v>2.2448746783537601</v>
      </c>
      <c r="V43" s="7">
        <f t="shared" si="44"/>
        <v>2.2215358179066618</v>
      </c>
      <c r="W43" s="7">
        <f t="shared" si="45"/>
        <v>7.6876130872814024</v>
      </c>
      <c r="X43" s="7" t="e">
        <f t="shared" si="46"/>
        <v>#VALUE!</v>
      </c>
      <c r="Y43" s="7" t="e">
        <f t="shared" si="47"/>
        <v>#VALUE!</v>
      </c>
      <c r="Z43" s="7" t="e">
        <f t="shared" si="48"/>
        <v>#VALUE!</v>
      </c>
      <c r="AA43" s="7" t="e">
        <f t="shared" si="49"/>
        <v>#VALUE!</v>
      </c>
      <c r="AB43" s="7" t="e">
        <f t="shared" si="50"/>
        <v>#VALUE!</v>
      </c>
      <c r="AC43" s="7" t="e">
        <f t="shared" si="51"/>
        <v>#VALUE!</v>
      </c>
      <c r="AD43" s="7" t="e">
        <f t="shared" si="52"/>
        <v>#VALUE!</v>
      </c>
      <c r="AE43" s="7" t="e">
        <f t="shared" si="53"/>
        <v>#VALUE!</v>
      </c>
      <c r="AF43" s="7" t="e">
        <f t="shared" si="54"/>
        <v>#VALUE!</v>
      </c>
      <c r="AG43" s="7" t="e">
        <f t="shared" si="55"/>
        <v>#VALUE!</v>
      </c>
      <c r="AH43" s="7">
        <f>$C$12</f>
        <v>3.183098861837907</v>
      </c>
      <c r="AJ43">
        <f t="shared" si="34"/>
        <v>800</v>
      </c>
      <c r="AK43" s="7">
        <f t="shared" si="56"/>
        <v>0</v>
      </c>
      <c r="AL43" s="7">
        <f t="shared" si="57"/>
        <v>0</v>
      </c>
      <c r="AM43" s="7">
        <f t="shared" si="58"/>
        <v>3.6805229953994543</v>
      </c>
      <c r="AN43" s="7">
        <f t="shared" si="59"/>
        <v>4.242688652933202</v>
      </c>
      <c r="AO43" s="7">
        <f t="shared" si="60"/>
        <v>5.2116158205002652</v>
      </c>
      <c r="AP43" s="7">
        <f t="shared" si="61"/>
        <v>12.361277181229646</v>
      </c>
      <c r="AQ43" s="7" t="e">
        <f t="shared" si="62"/>
        <v>#VALUE!</v>
      </c>
      <c r="AR43" s="7" t="e">
        <f t="shared" si="63"/>
        <v>#VALUE!</v>
      </c>
      <c r="AS43" s="7" t="e">
        <f t="shared" si="64"/>
        <v>#VALUE!</v>
      </c>
      <c r="AT43" s="7" t="e">
        <f t="shared" si="65"/>
        <v>#VALUE!</v>
      </c>
      <c r="AU43" s="7" t="e">
        <f t="shared" si="66"/>
        <v>#VALUE!</v>
      </c>
      <c r="AV43" s="7" t="e">
        <f t="shared" si="67"/>
        <v>#VALUE!</v>
      </c>
      <c r="AW43" s="7" t="e">
        <f t="shared" si="68"/>
        <v>#VALUE!</v>
      </c>
      <c r="AX43" s="7" t="e">
        <f t="shared" si="69"/>
        <v>#VALUE!</v>
      </c>
      <c r="AY43" s="7" t="e">
        <f t="shared" si="70"/>
        <v>#VALUE!</v>
      </c>
      <c r="AZ43" s="7" t="e">
        <f t="shared" si="71"/>
        <v>#VALUE!</v>
      </c>
      <c r="BA43" s="7"/>
    </row>
    <row r="44" spans="3:53" x14ac:dyDescent="0.25">
      <c r="C44" s="1"/>
      <c r="E44" s="1"/>
      <c r="P44">
        <f t="shared" si="35"/>
        <v>20.5</v>
      </c>
      <c r="Q44">
        <f t="shared" si="33"/>
        <v>820</v>
      </c>
      <c r="R44" s="7">
        <f t="shared" si="40"/>
        <v>-1.288052987971815</v>
      </c>
      <c r="S44" s="7">
        <f t="shared" si="41"/>
        <v>-1.3351768777756619</v>
      </c>
      <c r="T44" s="7">
        <f t="shared" si="42"/>
        <v>1.5685603062722304</v>
      </c>
      <c r="U44" s="7">
        <f t="shared" si="43"/>
        <v>1.9374004459688681</v>
      </c>
      <c r="V44" s="7">
        <f t="shared" si="44"/>
        <v>1.7399651751678311</v>
      </c>
      <c r="W44" s="7">
        <f t="shared" si="45"/>
        <v>6.8469987440546873</v>
      </c>
      <c r="X44" s="7" t="e">
        <f t="shared" si="46"/>
        <v>#VALUE!</v>
      </c>
      <c r="Y44" s="7" t="e">
        <f t="shared" si="47"/>
        <v>#VALUE!</v>
      </c>
      <c r="Z44" s="7" t="e">
        <f t="shared" si="48"/>
        <v>#VALUE!</v>
      </c>
      <c r="AA44" s="7" t="e">
        <f t="shared" si="49"/>
        <v>#VALUE!</v>
      </c>
      <c r="AB44" s="7" t="e">
        <f t="shared" si="50"/>
        <v>#VALUE!</v>
      </c>
      <c r="AC44" s="7" t="e">
        <f t="shared" si="51"/>
        <v>#VALUE!</v>
      </c>
      <c r="AD44" s="7" t="e">
        <f t="shared" si="52"/>
        <v>#VALUE!</v>
      </c>
      <c r="AE44" s="7" t="e">
        <f t="shared" si="53"/>
        <v>#VALUE!</v>
      </c>
      <c r="AF44" s="7" t="e">
        <f t="shared" si="54"/>
        <v>#VALUE!</v>
      </c>
      <c r="AG44" s="7" t="e">
        <f t="shared" si="55"/>
        <v>#VALUE!</v>
      </c>
      <c r="AH44" s="7">
        <f>$C$12</f>
        <v>3.183098861837907</v>
      </c>
      <c r="AJ44">
        <f t="shared" si="34"/>
        <v>820</v>
      </c>
      <c r="AK44" s="7">
        <f t="shared" si="56"/>
        <v>0</v>
      </c>
      <c r="AL44" s="7">
        <f t="shared" si="57"/>
        <v>0</v>
      </c>
      <c r="AM44" s="7">
        <f t="shared" si="58"/>
        <v>3.508535558303806</v>
      </c>
      <c r="AN44" s="7">
        <f t="shared" si="59"/>
        <v>3.9366546314422117</v>
      </c>
      <c r="AO44" s="7">
        <f t="shared" si="60"/>
        <v>4.7090027774108663</v>
      </c>
      <c r="AP44" s="7">
        <f t="shared" si="61"/>
        <v>11.523461593510534</v>
      </c>
      <c r="AQ44" s="7" t="e">
        <f t="shared" si="62"/>
        <v>#VALUE!</v>
      </c>
      <c r="AR44" s="7" t="e">
        <f t="shared" si="63"/>
        <v>#VALUE!</v>
      </c>
      <c r="AS44" s="7" t="e">
        <f t="shared" si="64"/>
        <v>#VALUE!</v>
      </c>
      <c r="AT44" s="7" t="e">
        <f t="shared" si="65"/>
        <v>#VALUE!</v>
      </c>
      <c r="AU44" s="7" t="e">
        <f t="shared" si="66"/>
        <v>#VALUE!</v>
      </c>
      <c r="AV44" s="7" t="e">
        <f t="shared" si="67"/>
        <v>#VALUE!</v>
      </c>
      <c r="AW44" s="7" t="e">
        <f t="shared" si="68"/>
        <v>#VALUE!</v>
      </c>
      <c r="AX44" s="7" t="e">
        <f t="shared" si="69"/>
        <v>#VALUE!</v>
      </c>
      <c r="AY44" s="7" t="e">
        <f t="shared" si="70"/>
        <v>#VALUE!</v>
      </c>
      <c r="AZ44" s="7" t="e">
        <f t="shared" si="71"/>
        <v>#VALUE!</v>
      </c>
      <c r="BA44" s="7"/>
    </row>
    <row r="45" spans="3:53" x14ac:dyDescent="0.25">
      <c r="C45" s="1"/>
      <c r="E45" s="1"/>
      <c r="P45">
        <f t="shared" si="35"/>
        <v>21</v>
      </c>
      <c r="Q45">
        <f t="shared" si="33"/>
        <v>840</v>
      </c>
      <c r="R45" s="7">
        <f t="shared" si="40"/>
        <v>-1.288052987971815</v>
      </c>
      <c r="S45" s="7">
        <f t="shared" si="41"/>
        <v>-1.3351768777756619</v>
      </c>
      <c r="T45" s="7">
        <f t="shared" si="42"/>
        <v>1.380025602229122</v>
      </c>
      <c r="U45" s="7">
        <f t="shared" si="43"/>
        <v>1.6438052204454852</v>
      </c>
      <c r="V45" s="7">
        <f t="shared" si="44"/>
        <v>1.2804891874922628</v>
      </c>
      <c r="W45" s="7">
        <f t="shared" si="45"/>
        <v>6.0435935616777039</v>
      </c>
      <c r="X45" s="7" t="e">
        <f t="shared" si="46"/>
        <v>#VALUE!</v>
      </c>
      <c r="Y45" s="7" t="e">
        <f t="shared" si="47"/>
        <v>#VALUE!</v>
      </c>
      <c r="Z45" s="7" t="e">
        <f t="shared" si="48"/>
        <v>#VALUE!</v>
      </c>
      <c r="AA45" s="7" t="e">
        <f t="shared" si="49"/>
        <v>#VALUE!</v>
      </c>
      <c r="AB45" s="7" t="e">
        <f t="shared" si="50"/>
        <v>#VALUE!</v>
      </c>
      <c r="AC45" s="7" t="e">
        <f t="shared" si="51"/>
        <v>#VALUE!</v>
      </c>
      <c r="AD45" s="7" t="e">
        <f t="shared" si="52"/>
        <v>#VALUE!</v>
      </c>
      <c r="AE45" s="7" t="e">
        <f t="shared" si="53"/>
        <v>#VALUE!</v>
      </c>
      <c r="AF45" s="7" t="e">
        <f t="shared" si="54"/>
        <v>#VALUE!</v>
      </c>
      <c r="AG45" s="7" t="e">
        <f t="shared" si="55"/>
        <v>#VALUE!</v>
      </c>
      <c r="AH45" s="7">
        <f>$C$12</f>
        <v>3.183098861837907</v>
      </c>
      <c r="AJ45">
        <f t="shared" si="34"/>
        <v>840</v>
      </c>
      <c r="AK45" s="7">
        <f t="shared" si="56"/>
        <v>0</v>
      </c>
      <c r="AL45" s="7">
        <f t="shared" si="57"/>
        <v>0</v>
      </c>
      <c r="AM45" s="7">
        <f t="shared" si="58"/>
        <v>3.3370772670778202</v>
      </c>
      <c r="AN45" s="7">
        <f t="shared" si="59"/>
        <v>3.6315290102127369</v>
      </c>
      <c r="AO45" s="7">
        <f t="shared" si="60"/>
        <v>4.2071235701244527</v>
      </c>
      <c r="AP45" s="7">
        <f t="shared" si="61"/>
        <v>10.689186684932677</v>
      </c>
      <c r="AQ45" s="7" t="e">
        <f t="shared" si="62"/>
        <v>#VALUE!</v>
      </c>
      <c r="AR45" s="7" t="e">
        <f t="shared" si="63"/>
        <v>#VALUE!</v>
      </c>
      <c r="AS45" s="7" t="e">
        <f t="shared" si="64"/>
        <v>#VALUE!</v>
      </c>
      <c r="AT45" s="7" t="e">
        <f t="shared" si="65"/>
        <v>#VALUE!</v>
      </c>
      <c r="AU45" s="7" t="e">
        <f t="shared" si="66"/>
        <v>#VALUE!</v>
      </c>
      <c r="AV45" s="7" t="e">
        <f t="shared" si="67"/>
        <v>#VALUE!</v>
      </c>
      <c r="AW45" s="7" t="e">
        <f t="shared" si="68"/>
        <v>#VALUE!</v>
      </c>
      <c r="AX45" s="7" t="e">
        <f t="shared" si="69"/>
        <v>#VALUE!</v>
      </c>
      <c r="AY45" s="7" t="e">
        <f t="shared" si="70"/>
        <v>#VALUE!</v>
      </c>
      <c r="AZ45" s="7" t="e">
        <f t="shared" si="71"/>
        <v>#VALUE!</v>
      </c>
      <c r="BA45" s="7"/>
    </row>
    <row r="46" spans="3:53" x14ac:dyDescent="0.25">
      <c r="C46" s="1"/>
      <c r="E46" s="1"/>
      <c r="P46">
        <f t="shared" si="35"/>
        <v>21.5</v>
      </c>
      <c r="Q46">
        <f t="shared" si="33"/>
        <v>860</v>
      </c>
      <c r="R46" s="7">
        <f t="shared" si="40"/>
        <v>-1.288052987971815</v>
      </c>
      <c r="S46" s="7">
        <f t="shared" si="41"/>
        <v>-1.3351768777756619</v>
      </c>
      <c r="T46" s="7">
        <f t="shared" si="42"/>
        <v>1.2000121367525005</v>
      </c>
      <c r="U46" s="7">
        <f t="shared" si="43"/>
        <v>1.3631700207904858</v>
      </c>
      <c r="V46" s="7">
        <f t="shared" si="44"/>
        <v>0.84162138723618263</v>
      </c>
      <c r="W46" s="7">
        <f t="shared" si="45"/>
        <v>5.2749804815644001</v>
      </c>
      <c r="X46" s="7" t="e">
        <f t="shared" si="46"/>
        <v>#VALUE!</v>
      </c>
      <c r="Y46" s="7" t="e">
        <f t="shared" si="47"/>
        <v>#VALUE!</v>
      </c>
      <c r="Z46" s="7" t="e">
        <f t="shared" si="48"/>
        <v>#VALUE!</v>
      </c>
      <c r="AA46" s="7" t="e">
        <f t="shared" si="49"/>
        <v>#VALUE!</v>
      </c>
      <c r="AB46" s="7" t="e">
        <f t="shared" si="50"/>
        <v>#VALUE!</v>
      </c>
      <c r="AC46" s="7" t="e">
        <f t="shared" si="51"/>
        <v>#VALUE!</v>
      </c>
      <c r="AD46" s="7" t="e">
        <f t="shared" si="52"/>
        <v>#VALUE!</v>
      </c>
      <c r="AE46" s="7" t="e">
        <f t="shared" si="53"/>
        <v>#VALUE!</v>
      </c>
      <c r="AF46" s="7" t="e">
        <f t="shared" si="54"/>
        <v>#VALUE!</v>
      </c>
      <c r="AG46" s="7" t="e">
        <f t="shared" si="55"/>
        <v>#VALUE!</v>
      </c>
      <c r="AH46" s="7">
        <f>$C$12</f>
        <v>3.183098861837907</v>
      </c>
      <c r="AJ46">
        <f t="shared" si="34"/>
        <v>860</v>
      </c>
      <c r="AK46" s="7">
        <f t="shared" si="56"/>
        <v>0</v>
      </c>
      <c r="AL46" s="7">
        <f t="shared" si="57"/>
        <v>0</v>
      </c>
      <c r="AM46" s="7">
        <f t="shared" si="58"/>
        <v>3.1660775976208551</v>
      </c>
      <c r="AN46" s="7">
        <f t="shared" si="59"/>
        <v>3.3271688205475867</v>
      </c>
      <c r="AO46" s="7">
        <f t="shared" si="60"/>
        <v>3.7058421514850042</v>
      </c>
      <c r="AP46" s="7">
        <f t="shared" si="61"/>
        <v>9.8579179771487127</v>
      </c>
      <c r="AQ46" s="7" t="e">
        <f t="shared" si="62"/>
        <v>#VALUE!</v>
      </c>
      <c r="AR46" s="7" t="e">
        <f t="shared" si="63"/>
        <v>#VALUE!</v>
      </c>
      <c r="AS46" s="7" t="e">
        <f t="shared" si="64"/>
        <v>#VALUE!</v>
      </c>
      <c r="AT46" s="7" t="e">
        <f t="shared" si="65"/>
        <v>#VALUE!</v>
      </c>
      <c r="AU46" s="7" t="e">
        <f t="shared" si="66"/>
        <v>#VALUE!</v>
      </c>
      <c r="AV46" s="7" t="e">
        <f t="shared" si="67"/>
        <v>#VALUE!</v>
      </c>
      <c r="AW46" s="7" t="e">
        <f t="shared" si="68"/>
        <v>#VALUE!</v>
      </c>
      <c r="AX46" s="7" t="e">
        <f t="shared" si="69"/>
        <v>#VALUE!</v>
      </c>
      <c r="AY46" s="7" t="e">
        <f t="shared" si="70"/>
        <v>#VALUE!</v>
      </c>
      <c r="AZ46" s="7" t="e">
        <f t="shared" si="71"/>
        <v>#VALUE!</v>
      </c>
      <c r="BA46" s="7"/>
    </row>
    <row r="47" spans="3:53" x14ac:dyDescent="0.25">
      <c r="C47" s="1"/>
      <c r="E47" s="1"/>
      <c r="P47">
        <f t="shared" si="35"/>
        <v>22</v>
      </c>
      <c r="Q47">
        <f t="shared" si="33"/>
        <v>880</v>
      </c>
      <c r="R47" s="7">
        <f t="shared" si="40"/>
        <v>-1.288052987971815</v>
      </c>
      <c r="S47" s="7">
        <f t="shared" si="41"/>
        <v>-1.3351768777756619</v>
      </c>
      <c r="T47" s="7">
        <f t="shared" si="42"/>
        <v>1.027954972590873</v>
      </c>
      <c r="U47" s="7">
        <f t="shared" si="43"/>
        <v>1.094655246218885</v>
      </c>
      <c r="V47" s="7">
        <f t="shared" si="44"/>
        <v>0.42200572268876435</v>
      </c>
      <c r="W47" s="7">
        <f t="shared" si="45"/>
        <v>4.5389473535671385</v>
      </c>
      <c r="X47" s="7" t="e">
        <f t="shared" si="46"/>
        <v>#VALUE!</v>
      </c>
      <c r="Y47" s="7" t="e">
        <f t="shared" si="47"/>
        <v>#VALUE!</v>
      </c>
      <c r="Z47" s="7" t="e">
        <f t="shared" si="48"/>
        <v>#VALUE!</v>
      </c>
      <c r="AA47" s="7" t="e">
        <f t="shared" si="49"/>
        <v>#VALUE!</v>
      </c>
      <c r="AB47" s="7" t="e">
        <f t="shared" si="50"/>
        <v>#VALUE!</v>
      </c>
      <c r="AC47" s="7" t="e">
        <f t="shared" si="51"/>
        <v>#VALUE!</v>
      </c>
      <c r="AD47" s="7" t="e">
        <f t="shared" si="52"/>
        <v>#VALUE!</v>
      </c>
      <c r="AE47" s="7" t="e">
        <f t="shared" si="53"/>
        <v>#VALUE!</v>
      </c>
      <c r="AF47" s="7" t="e">
        <f t="shared" si="54"/>
        <v>#VALUE!</v>
      </c>
      <c r="AG47" s="7" t="e">
        <f t="shared" si="55"/>
        <v>#VALUE!</v>
      </c>
      <c r="AH47" s="7">
        <f>$C$12</f>
        <v>3.183098861837907</v>
      </c>
      <c r="AJ47">
        <f t="shared" si="34"/>
        <v>880</v>
      </c>
      <c r="AK47" s="7">
        <f t="shared" si="56"/>
        <v>0</v>
      </c>
      <c r="AL47" s="7">
        <f t="shared" si="57"/>
        <v>0</v>
      </c>
      <c r="AM47" s="7">
        <f t="shared" si="58"/>
        <v>2.9954752552116917</v>
      </c>
      <c r="AN47" s="7">
        <f t="shared" si="59"/>
        <v>3.0234504425652893</v>
      </c>
      <c r="AO47" s="7">
        <f t="shared" si="60"/>
        <v>3.2050418483193686</v>
      </c>
      <c r="AP47" s="7">
        <f t="shared" si="61"/>
        <v>9.0291915682678354</v>
      </c>
      <c r="AQ47" s="7" t="e">
        <f t="shared" si="62"/>
        <v>#VALUE!</v>
      </c>
      <c r="AR47" s="7" t="e">
        <f t="shared" si="63"/>
        <v>#VALUE!</v>
      </c>
      <c r="AS47" s="7" t="e">
        <f t="shared" si="64"/>
        <v>#VALUE!</v>
      </c>
      <c r="AT47" s="7" t="e">
        <f t="shared" si="65"/>
        <v>#VALUE!</v>
      </c>
      <c r="AU47" s="7" t="e">
        <f t="shared" si="66"/>
        <v>#VALUE!</v>
      </c>
      <c r="AV47" s="7" t="e">
        <f t="shared" si="67"/>
        <v>#VALUE!</v>
      </c>
      <c r="AW47" s="7" t="e">
        <f t="shared" si="68"/>
        <v>#VALUE!</v>
      </c>
      <c r="AX47" s="7" t="e">
        <f t="shared" si="69"/>
        <v>#VALUE!</v>
      </c>
      <c r="AY47" s="7" t="e">
        <f t="shared" si="70"/>
        <v>#VALUE!</v>
      </c>
      <c r="AZ47" s="7" t="e">
        <f t="shared" si="71"/>
        <v>#VALUE!</v>
      </c>
      <c r="BA47" s="7"/>
    </row>
    <row r="48" spans="3:53" x14ac:dyDescent="0.25">
      <c r="C48" s="1"/>
      <c r="E48" s="1"/>
      <c r="P48">
        <f t="shared" si="35"/>
        <v>22.5</v>
      </c>
      <c r="Q48">
        <f t="shared" si="33"/>
        <v>900</v>
      </c>
      <c r="R48" s="7">
        <f t="shared" si="40"/>
        <v>-1.288052987971815</v>
      </c>
      <c r="S48" s="7">
        <f t="shared" si="41"/>
        <v>-1.3351768777756619</v>
      </c>
      <c r="T48" s="7">
        <f t="shared" si="42"/>
        <v>0.86333803136024945</v>
      </c>
      <c r="U48" s="7">
        <f t="shared" si="43"/>
        <v>0.83749228639745232</v>
      </c>
      <c r="V48" s="7">
        <f t="shared" si="44"/>
        <v>2.0402562422362047E-2</v>
      </c>
      <c r="W48" s="7">
        <f t="shared" si="45"/>
        <v>3.8334656725000702</v>
      </c>
      <c r="X48" s="7" t="e">
        <f t="shared" si="46"/>
        <v>#VALUE!</v>
      </c>
      <c r="Y48" s="7" t="e">
        <f t="shared" si="47"/>
        <v>#VALUE!</v>
      </c>
      <c r="Z48" s="7" t="e">
        <f t="shared" si="48"/>
        <v>#VALUE!</v>
      </c>
      <c r="AA48" s="7" t="e">
        <f t="shared" si="49"/>
        <v>#VALUE!</v>
      </c>
      <c r="AB48" s="7" t="e">
        <f t="shared" si="50"/>
        <v>#VALUE!</v>
      </c>
      <c r="AC48" s="7" t="e">
        <f t="shared" si="51"/>
        <v>#VALUE!</v>
      </c>
      <c r="AD48" s="7" t="e">
        <f t="shared" si="52"/>
        <v>#VALUE!</v>
      </c>
      <c r="AE48" s="7" t="e">
        <f t="shared" si="53"/>
        <v>#VALUE!</v>
      </c>
      <c r="AF48" s="7" t="e">
        <f t="shared" si="54"/>
        <v>#VALUE!</v>
      </c>
      <c r="AG48" s="7" t="e">
        <f t="shared" si="55"/>
        <v>#VALUE!</v>
      </c>
      <c r="AH48" s="7">
        <f>$C$12</f>
        <v>3.183098861837907</v>
      </c>
      <c r="AJ48">
        <f t="shared" si="34"/>
        <v>900</v>
      </c>
      <c r="AK48" s="7">
        <f t="shared" si="56"/>
        <v>0</v>
      </c>
      <c r="AL48" s="7">
        <f t="shared" si="57"/>
        <v>0</v>
      </c>
      <c r="AM48" s="7">
        <f t="shared" si="58"/>
        <v>2.8252168599404781</v>
      </c>
      <c r="AN48" s="7">
        <f t="shared" si="59"/>
        <v>2.7202668360746864</v>
      </c>
      <c r="AO48" s="7">
        <f t="shared" si="60"/>
        <v>2.704622501246972</v>
      </c>
      <c r="AP48" s="7">
        <f t="shared" si="61"/>
        <v>8.202604241684881</v>
      </c>
      <c r="AQ48" s="7" t="e">
        <f t="shared" si="62"/>
        <v>#VALUE!</v>
      </c>
      <c r="AR48" s="7" t="e">
        <f t="shared" si="63"/>
        <v>#VALUE!</v>
      </c>
      <c r="AS48" s="7" t="e">
        <f t="shared" si="64"/>
        <v>#VALUE!</v>
      </c>
      <c r="AT48" s="7" t="e">
        <f t="shared" si="65"/>
        <v>#VALUE!</v>
      </c>
      <c r="AU48" s="7" t="e">
        <f t="shared" si="66"/>
        <v>#VALUE!</v>
      </c>
      <c r="AV48" s="7" t="e">
        <f t="shared" si="67"/>
        <v>#VALUE!</v>
      </c>
      <c r="AW48" s="7" t="e">
        <f t="shared" si="68"/>
        <v>#VALUE!</v>
      </c>
      <c r="AX48" s="7" t="e">
        <f t="shared" si="69"/>
        <v>#VALUE!</v>
      </c>
      <c r="AY48" s="7" t="e">
        <f t="shared" si="70"/>
        <v>#VALUE!</v>
      </c>
      <c r="AZ48" s="7" t="e">
        <f t="shared" si="71"/>
        <v>#VALUE!</v>
      </c>
      <c r="BA48" s="7"/>
    </row>
    <row r="49" spans="3:53" x14ac:dyDescent="0.25">
      <c r="C49" s="1"/>
      <c r="P49">
        <f t="shared" si="35"/>
        <v>23</v>
      </c>
      <c r="Q49">
        <f t="shared" si="33"/>
        <v>920</v>
      </c>
      <c r="R49" s="7">
        <f t="shared" si="40"/>
        <v>-1.288052987971815</v>
      </c>
      <c r="S49" s="7">
        <f t="shared" si="41"/>
        <v>-1.3351768777756619</v>
      </c>
      <c r="T49" s="7">
        <f t="shared" si="42"/>
        <v>0.70568892335269484</v>
      </c>
      <c r="U49" s="7">
        <f t="shared" si="43"/>
        <v>0.59097617372550104</v>
      </c>
      <c r="V49" s="7">
        <f t="shared" si="44"/>
        <v>-0.36432353588821087</v>
      </c>
      <c r="W49" s="7">
        <f t="shared" si="45"/>
        <v>3.1566719086555857</v>
      </c>
      <c r="X49" s="7" t="e">
        <f t="shared" si="46"/>
        <v>#VALUE!</v>
      </c>
      <c r="Y49" s="7" t="e">
        <f t="shared" si="47"/>
        <v>#VALUE!</v>
      </c>
      <c r="Z49" s="7" t="e">
        <f t="shared" si="48"/>
        <v>#VALUE!</v>
      </c>
      <c r="AA49" s="7" t="e">
        <f t="shared" si="49"/>
        <v>#VALUE!</v>
      </c>
      <c r="AB49" s="7" t="e">
        <f t="shared" si="50"/>
        <v>#VALUE!</v>
      </c>
      <c r="AC49" s="7" t="e">
        <f t="shared" si="51"/>
        <v>#VALUE!</v>
      </c>
      <c r="AD49" s="7" t="e">
        <f t="shared" si="52"/>
        <v>#VALUE!</v>
      </c>
      <c r="AE49" s="7" t="e">
        <f t="shared" si="53"/>
        <v>#VALUE!</v>
      </c>
      <c r="AF49" s="7" t="e">
        <f t="shared" si="54"/>
        <v>#VALUE!</v>
      </c>
      <c r="AG49" s="7" t="e">
        <f t="shared" si="55"/>
        <v>#VALUE!</v>
      </c>
      <c r="AH49" s="7">
        <f>$C$12</f>
        <v>3.183098861837907</v>
      </c>
      <c r="AJ49">
        <f t="shared" si="34"/>
        <v>920</v>
      </c>
      <c r="AK49" s="7">
        <f t="shared" si="56"/>
        <v>0</v>
      </c>
      <c r="AL49" s="7">
        <f t="shared" si="57"/>
        <v>0</v>
      </c>
      <c r="AM49" s="7">
        <f t="shared" si="58"/>
        <v>2.6552558384458758</v>
      </c>
      <c r="AN49" s="7">
        <f t="shared" si="59"/>
        <v>2.4175252034627976</v>
      </c>
      <c r="AO49" s="7">
        <f t="shared" si="60"/>
        <v>2.2044980614828606</v>
      </c>
      <c r="AP49" s="7">
        <f t="shared" si="61"/>
        <v>7.3778050883993416</v>
      </c>
      <c r="AQ49" s="7" t="e">
        <f t="shared" si="62"/>
        <v>#VALUE!</v>
      </c>
      <c r="AR49" s="7" t="e">
        <f t="shared" si="63"/>
        <v>#VALUE!</v>
      </c>
      <c r="AS49" s="7" t="e">
        <f t="shared" si="64"/>
        <v>#VALUE!</v>
      </c>
      <c r="AT49" s="7" t="e">
        <f t="shared" si="65"/>
        <v>#VALUE!</v>
      </c>
      <c r="AU49" s="7" t="e">
        <f t="shared" si="66"/>
        <v>#VALUE!</v>
      </c>
      <c r="AV49" s="7" t="e">
        <f t="shared" si="67"/>
        <v>#VALUE!</v>
      </c>
      <c r="AW49" s="7" t="e">
        <f t="shared" si="68"/>
        <v>#VALUE!</v>
      </c>
      <c r="AX49" s="7" t="e">
        <f t="shared" si="69"/>
        <v>#VALUE!</v>
      </c>
      <c r="AY49" s="7" t="e">
        <f t="shared" si="70"/>
        <v>#VALUE!</v>
      </c>
      <c r="AZ49" s="7" t="e">
        <f t="shared" si="71"/>
        <v>#VALUE!</v>
      </c>
      <c r="BA49" s="7"/>
    </row>
    <row r="50" spans="3:53" x14ac:dyDescent="0.25">
      <c r="C50" s="1"/>
      <c r="P50">
        <f t="shared" si="35"/>
        <v>23.5</v>
      </c>
      <c r="Q50">
        <f t="shared" si="33"/>
        <v>940</v>
      </c>
      <c r="R50" s="7">
        <f t="shared" si="40"/>
        <v>-1.288052987971815</v>
      </c>
      <c r="S50" s="7">
        <f t="shared" si="41"/>
        <v>-1.3351768777756619</v>
      </c>
      <c r="T50" s="7">
        <f t="shared" si="42"/>
        <v>0.5545744202630658</v>
      </c>
      <c r="U50" s="7">
        <f t="shared" si="43"/>
        <v>0.3544591297196813</v>
      </c>
      <c r="V50" s="7">
        <f t="shared" si="44"/>
        <v>-0.7332145463629427</v>
      </c>
      <c r="W50" s="7">
        <f t="shared" si="45"/>
        <v>2.5068510704804474</v>
      </c>
      <c r="X50" s="7" t="e">
        <f t="shared" si="46"/>
        <v>#VALUE!</v>
      </c>
      <c r="Y50" s="7" t="e">
        <f t="shared" si="47"/>
        <v>#VALUE!</v>
      </c>
      <c r="Z50" s="7" t="e">
        <f t="shared" si="48"/>
        <v>#VALUE!</v>
      </c>
      <c r="AA50" s="7" t="e">
        <f t="shared" si="49"/>
        <v>#VALUE!</v>
      </c>
      <c r="AB50" s="7" t="e">
        <f t="shared" si="50"/>
        <v>#VALUE!</v>
      </c>
      <c r="AC50" s="7" t="e">
        <f t="shared" si="51"/>
        <v>#VALUE!</v>
      </c>
      <c r="AD50" s="7" t="e">
        <f t="shared" si="52"/>
        <v>#VALUE!</v>
      </c>
      <c r="AE50" s="7" t="e">
        <f t="shared" si="53"/>
        <v>#VALUE!</v>
      </c>
      <c r="AF50" s="7" t="e">
        <f t="shared" si="54"/>
        <v>#VALUE!</v>
      </c>
      <c r="AG50" s="7" t="e">
        <f t="shared" si="55"/>
        <v>#VALUE!</v>
      </c>
      <c r="AH50" s="7">
        <f>$C$12</f>
        <v>3.183098861837907</v>
      </c>
      <c r="AJ50">
        <f t="shared" si="34"/>
        <v>940</v>
      </c>
      <c r="AK50" s="7">
        <f t="shared" si="56"/>
        <v>0</v>
      </c>
      <c r="AL50" s="7">
        <f t="shared" si="57"/>
        <v>0</v>
      </c>
      <c r="AM50" s="7">
        <f t="shared" si="58"/>
        <v>2.4855514864330956</v>
      </c>
      <c r="AN50" s="7">
        <f t="shared" si="59"/>
        <v>2.1151450110145515</v>
      </c>
      <c r="AO50" s="7">
        <f t="shared" si="60"/>
        <v>1.704594565199014</v>
      </c>
      <c r="AP50" s="7">
        <f t="shared" si="61"/>
        <v>6.5544883897617101</v>
      </c>
      <c r="AQ50" s="7" t="e">
        <f t="shared" si="62"/>
        <v>#VALUE!</v>
      </c>
      <c r="AR50" s="7" t="e">
        <f t="shared" si="63"/>
        <v>#VALUE!</v>
      </c>
      <c r="AS50" s="7" t="e">
        <f t="shared" si="64"/>
        <v>#VALUE!</v>
      </c>
      <c r="AT50" s="7" t="e">
        <f t="shared" si="65"/>
        <v>#VALUE!</v>
      </c>
      <c r="AU50" s="7" t="e">
        <f t="shared" si="66"/>
        <v>#VALUE!</v>
      </c>
      <c r="AV50" s="7" t="e">
        <f t="shared" si="67"/>
        <v>#VALUE!</v>
      </c>
      <c r="AW50" s="7" t="e">
        <f t="shared" si="68"/>
        <v>#VALUE!</v>
      </c>
      <c r="AX50" s="7" t="e">
        <f t="shared" si="69"/>
        <v>#VALUE!</v>
      </c>
      <c r="AY50" s="7" t="e">
        <f t="shared" si="70"/>
        <v>#VALUE!</v>
      </c>
      <c r="AZ50" s="7" t="e">
        <f t="shared" si="71"/>
        <v>#VALUE!</v>
      </c>
      <c r="BA50" s="7"/>
    </row>
    <row r="51" spans="3:53" x14ac:dyDescent="0.25">
      <c r="C51" s="1"/>
      <c r="P51">
        <f t="shared" si="35"/>
        <v>24</v>
      </c>
      <c r="Q51">
        <f t="shared" si="33"/>
        <v>960</v>
      </c>
      <c r="R51" s="7">
        <f t="shared" si="40"/>
        <v>-1.288052987971815</v>
      </c>
      <c r="S51" s="7">
        <f t="shared" si="41"/>
        <v>-1.3351768777756619</v>
      </c>
      <c r="T51" s="7">
        <f t="shared" si="42"/>
        <v>0.40959647945565703</v>
      </c>
      <c r="U51" s="7">
        <f t="shared" si="43"/>
        <v>0.12734488109412934</v>
      </c>
      <c r="V51" s="7">
        <f t="shared" si="44"/>
        <v>-1.0872283987113738</v>
      </c>
      <c r="W51" s="7">
        <f t="shared" si="45"/>
        <v>1.8824221941333485</v>
      </c>
      <c r="X51" s="7" t="e">
        <f t="shared" si="46"/>
        <v>#VALUE!</v>
      </c>
      <c r="Y51" s="7" t="e">
        <f t="shared" si="47"/>
        <v>#VALUE!</v>
      </c>
      <c r="Z51" s="7" t="e">
        <f t="shared" si="48"/>
        <v>#VALUE!</v>
      </c>
      <c r="AA51" s="7" t="e">
        <f t="shared" si="49"/>
        <v>#VALUE!</v>
      </c>
      <c r="AB51" s="7" t="e">
        <f t="shared" si="50"/>
        <v>#VALUE!</v>
      </c>
      <c r="AC51" s="7" t="e">
        <f t="shared" si="51"/>
        <v>#VALUE!</v>
      </c>
      <c r="AD51" s="7" t="e">
        <f t="shared" si="52"/>
        <v>#VALUE!</v>
      </c>
      <c r="AE51" s="7" t="e">
        <f t="shared" si="53"/>
        <v>#VALUE!</v>
      </c>
      <c r="AF51" s="7" t="e">
        <f t="shared" si="54"/>
        <v>#VALUE!</v>
      </c>
      <c r="AG51" s="7" t="e">
        <f t="shared" si="55"/>
        <v>#VALUE!</v>
      </c>
      <c r="AH51" s="7">
        <f>$C$12</f>
        <v>3.183098861837907</v>
      </c>
      <c r="AJ51">
        <f t="shared" si="34"/>
        <v>960</v>
      </c>
      <c r="AK51" s="7">
        <f t="shared" si="56"/>
        <v>0</v>
      </c>
      <c r="AL51" s="7">
        <f t="shared" si="57"/>
        <v>0</v>
      </c>
      <c r="AM51" s="7">
        <f t="shared" si="58"/>
        <v>2.3160681731091097</v>
      </c>
      <c r="AN51" s="7">
        <f t="shared" si="59"/>
        <v>1.8130563086933957</v>
      </c>
      <c r="AO51" s="7">
        <f t="shared" si="60"/>
        <v>1.2048484209730932</v>
      </c>
      <c r="AP51" s="7">
        <f t="shared" si="61"/>
        <v>5.7323875535668547</v>
      </c>
      <c r="AQ51" s="7" t="e">
        <f t="shared" si="62"/>
        <v>#VALUE!</v>
      </c>
      <c r="AR51" s="7" t="e">
        <f t="shared" si="63"/>
        <v>#VALUE!</v>
      </c>
      <c r="AS51" s="7" t="e">
        <f t="shared" si="64"/>
        <v>#VALUE!</v>
      </c>
      <c r="AT51" s="7" t="e">
        <f t="shared" si="65"/>
        <v>#VALUE!</v>
      </c>
      <c r="AU51" s="7" t="e">
        <f t="shared" si="66"/>
        <v>#VALUE!</v>
      </c>
      <c r="AV51" s="7" t="e">
        <f t="shared" si="67"/>
        <v>#VALUE!</v>
      </c>
      <c r="AW51" s="7" t="e">
        <f t="shared" si="68"/>
        <v>#VALUE!</v>
      </c>
      <c r="AX51" s="7" t="e">
        <f t="shared" si="69"/>
        <v>#VALUE!</v>
      </c>
      <c r="AY51" s="7" t="e">
        <f t="shared" si="70"/>
        <v>#VALUE!</v>
      </c>
      <c r="AZ51" s="7" t="e">
        <f t="shared" si="71"/>
        <v>#VALUE!</v>
      </c>
      <c r="BA51" s="7"/>
    </row>
    <row r="52" spans="3:53" x14ac:dyDescent="0.25">
      <c r="C52" s="1"/>
      <c r="P52">
        <f t="shared" si="35"/>
        <v>24.5</v>
      </c>
      <c r="Q52">
        <f t="shared" si="33"/>
        <v>980</v>
      </c>
      <c r="R52" s="7">
        <f t="shared" si="40"/>
        <v>-1.288052987971815</v>
      </c>
      <c r="S52" s="7">
        <f t="shared" si="41"/>
        <v>-1.3351768777756619</v>
      </c>
      <c r="T52" s="7">
        <f t="shared" si="42"/>
        <v>0.2703887429401961</v>
      </c>
      <c r="U52" s="7">
        <f t="shared" si="43"/>
        <v>-9.0916359474677577E-2</v>
      </c>
      <c r="V52" s="7">
        <f t="shared" si="44"/>
        <v>-1.4272472843957273</v>
      </c>
      <c r="W52" s="7">
        <f t="shared" si="45"/>
        <v>1.2819255014466306</v>
      </c>
      <c r="X52" s="7" t="e">
        <f t="shared" si="46"/>
        <v>#VALUE!</v>
      </c>
      <c r="Y52" s="7" t="e">
        <f t="shared" si="47"/>
        <v>#VALUE!</v>
      </c>
      <c r="Z52" s="7" t="e">
        <f t="shared" si="48"/>
        <v>#VALUE!</v>
      </c>
      <c r="AA52" s="7" t="e">
        <f t="shared" si="49"/>
        <v>#VALUE!</v>
      </c>
      <c r="AB52" s="7" t="e">
        <f t="shared" si="50"/>
        <v>#VALUE!</v>
      </c>
      <c r="AC52" s="7" t="e">
        <f t="shared" si="51"/>
        <v>#VALUE!</v>
      </c>
      <c r="AD52" s="7" t="e">
        <f t="shared" si="52"/>
        <v>#VALUE!</v>
      </c>
      <c r="AE52" s="7" t="e">
        <f t="shared" si="53"/>
        <v>#VALUE!</v>
      </c>
      <c r="AF52" s="7" t="e">
        <f t="shared" si="54"/>
        <v>#VALUE!</v>
      </c>
      <c r="AG52" s="7" t="e">
        <f t="shared" si="55"/>
        <v>#VALUE!</v>
      </c>
      <c r="AH52" s="7">
        <f>$C$12</f>
        <v>3.183098861837907</v>
      </c>
      <c r="AJ52">
        <f t="shared" si="34"/>
        <v>980</v>
      </c>
      <c r="AK52" s="7">
        <f t="shared" si="56"/>
        <v>0</v>
      </c>
      <c r="AL52" s="7">
        <f t="shared" si="57"/>
        <v>0</v>
      </c>
      <c r="AM52" s="7">
        <f t="shared" si="58"/>
        <v>2.1467746639828378</v>
      </c>
      <c r="AN52" s="7">
        <f t="shared" si="59"/>
        <v>1.511198299306312</v>
      </c>
      <c r="AO52" s="7">
        <f t="shared" si="60"/>
        <v>0.70520495778099213</v>
      </c>
      <c r="AP52" s="7">
        <f t="shared" si="61"/>
        <v>4.9112699333786036</v>
      </c>
      <c r="AQ52" s="7" t="e">
        <f t="shared" si="62"/>
        <v>#VALUE!</v>
      </c>
      <c r="AR52" s="7" t="e">
        <f t="shared" si="63"/>
        <v>#VALUE!</v>
      </c>
      <c r="AS52" s="7" t="e">
        <f t="shared" si="64"/>
        <v>#VALUE!</v>
      </c>
      <c r="AT52" s="7" t="e">
        <f t="shared" si="65"/>
        <v>#VALUE!</v>
      </c>
      <c r="AU52" s="7" t="e">
        <f t="shared" si="66"/>
        <v>#VALUE!</v>
      </c>
      <c r="AV52" s="7" t="e">
        <f t="shared" si="67"/>
        <v>#VALUE!</v>
      </c>
      <c r="AW52" s="7" t="e">
        <f t="shared" si="68"/>
        <v>#VALUE!</v>
      </c>
      <c r="AX52" s="7" t="e">
        <f t="shared" si="69"/>
        <v>#VALUE!</v>
      </c>
      <c r="AY52" s="7" t="e">
        <f t="shared" si="70"/>
        <v>#VALUE!</v>
      </c>
      <c r="AZ52" s="7" t="e">
        <f t="shared" si="71"/>
        <v>#VALUE!</v>
      </c>
      <c r="BA52" s="7"/>
    </row>
    <row r="53" spans="3:53" x14ac:dyDescent="0.25">
      <c r="C53" s="1"/>
      <c r="P53">
        <f t="shared" si="35"/>
        <v>25</v>
      </c>
      <c r="Q53">
        <f t="shared" si="33"/>
        <v>1000</v>
      </c>
      <c r="R53" s="7">
        <f t="shared" si="40"/>
        <v>-1.288052987971815</v>
      </c>
      <c r="S53" s="7">
        <f t="shared" si="41"/>
        <v>-1.3351768777756619</v>
      </c>
      <c r="T53" s="7">
        <f t="shared" si="42"/>
        <v>0.13661344621949256</v>
      </c>
      <c r="U53" s="7">
        <f t="shared" si="43"/>
        <v>-0.30083233684863264</v>
      </c>
      <c r="V53" s="7">
        <f t="shared" si="44"/>
        <v>-1.7540849968037875</v>
      </c>
      <c r="W53" s="7">
        <f t="shared" si="45"/>
        <v>0.7040110066958718</v>
      </c>
      <c r="X53" s="7" t="e">
        <f t="shared" si="46"/>
        <v>#VALUE!</v>
      </c>
      <c r="Y53" s="7" t="e">
        <f t="shared" si="47"/>
        <v>#VALUE!</v>
      </c>
      <c r="Z53" s="7" t="e">
        <f t="shared" si="48"/>
        <v>#VALUE!</v>
      </c>
      <c r="AA53" s="7" t="e">
        <f t="shared" si="49"/>
        <v>#VALUE!</v>
      </c>
      <c r="AB53" s="7" t="e">
        <f t="shared" si="50"/>
        <v>#VALUE!</v>
      </c>
      <c r="AC53" s="7" t="e">
        <f t="shared" si="51"/>
        <v>#VALUE!</v>
      </c>
      <c r="AD53" s="7" t="e">
        <f t="shared" si="52"/>
        <v>#VALUE!</v>
      </c>
      <c r="AE53" s="7" t="e">
        <f t="shared" si="53"/>
        <v>#VALUE!</v>
      </c>
      <c r="AF53" s="7" t="e">
        <f t="shared" si="54"/>
        <v>#VALUE!</v>
      </c>
      <c r="AG53" s="7" t="e">
        <f t="shared" si="55"/>
        <v>#VALUE!</v>
      </c>
      <c r="AH53" s="7">
        <f>$C$12</f>
        <v>3.183098861837907</v>
      </c>
      <c r="AJ53">
        <f t="shared" si="34"/>
        <v>1000</v>
      </c>
      <c r="AK53" s="7">
        <f t="shared" si="56"/>
        <v>0</v>
      </c>
      <c r="AL53" s="7">
        <f t="shared" si="57"/>
        <v>0</v>
      </c>
      <c r="AM53" s="7">
        <f t="shared" si="58"/>
        <v>1.977643542733414</v>
      </c>
      <c r="AN53" s="7">
        <f t="shared" si="59"/>
        <v>1.209518116736203</v>
      </c>
      <c r="AO53" s="7">
        <f t="shared" si="60"/>
        <v>0.20561719053980787</v>
      </c>
      <c r="AP53" s="7">
        <f t="shared" si="61"/>
        <v>4.0909323908122843</v>
      </c>
      <c r="AQ53" s="7" t="e">
        <f t="shared" si="62"/>
        <v>#VALUE!</v>
      </c>
      <c r="AR53" s="7" t="e">
        <f t="shared" si="63"/>
        <v>#VALUE!</v>
      </c>
      <c r="AS53" s="7" t="e">
        <f t="shared" si="64"/>
        <v>#VALUE!</v>
      </c>
      <c r="AT53" s="7" t="e">
        <f t="shared" si="65"/>
        <v>#VALUE!</v>
      </c>
      <c r="AU53" s="7" t="e">
        <f t="shared" si="66"/>
        <v>#VALUE!</v>
      </c>
      <c r="AV53" s="7" t="e">
        <f t="shared" si="67"/>
        <v>#VALUE!</v>
      </c>
      <c r="AW53" s="7" t="e">
        <f t="shared" si="68"/>
        <v>#VALUE!</v>
      </c>
      <c r="AX53" s="7" t="e">
        <f t="shared" si="69"/>
        <v>#VALUE!</v>
      </c>
      <c r="AY53" s="7" t="e">
        <f t="shared" si="70"/>
        <v>#VALUE!</v>
      </c>
      <c r="AZ53" s="7" t="e">
        <f t="shared" si="71"/>
        <v>#VALUE!</v>
      </c>
      <c r="BA53" s="7"/>
    </row>
    <row r="54" spans="3:53" x14ac:dyDescent="0.25">
      <c r="C54" s="1"/>
      <c r="P54">
        <f t="shared" si="35"/>
        <v>25.5</v>
      </c>
      <c r="Q54">
        <f t="shared" si="33"/>
        <v>1020</v>
      </c>
      <c r="R54" s="7">
        <f t="shared" si="40"/>
        <v>-1.288052987971815</v>
      </c>
      <c r="S54" s="7">
        <f t="shared" si="41"/>
        <v>-1.3351768777756619</v>
      </c>
      <c r="T54" s="7">
        <f t="shared" si="42"/>
        <v>7.9586820982815443E-3</v>
      </c>
      <c r="U54" s="7">
        <f t="shared" si="43"/>
        <v>-0.50287269679557789</v>
      </c>
      <c r="V54" s="7">
        <f t="shared" si="44"/>
        <v>-1.8849555921538759</v>
      </c>
      <c r="W54" s="7">
        <f t="shared" si="45"/>
        <v>0.14742838500395239</v>
      </c>
      <c r="X54" s="7" t="e">
        <f t="shared" si="46"/>
        <v>#VALUE!</v>
      </c>
      <c r="Y54" s="7" t="e">
        <f t="shared" si="47"/>
        <v>#VALUE!</v>
      </c>
      <c r="Z54" s="7" t="e">
        <f t="shared" si="48"/>
        <v>#VALUE!</v>
      </c>
      <c r="AA54" s="7" t="e">
        <f t="shared" si="49"/>
        <v>#VALUE!</v>
      </c>
      <c r="AB54" s="7" t="e">
        <f t="shared" si="50"/>
        <v>#VALUE!</v>
      </c>
      <c r="AC54" s="7" t="e">
        <f t="shared" si="51"/>
        <v>#VALUE!</v>
      </c>
      <c r="AD54" s="7" t="e">
        <f t="shared" si="52"/>
        <v>#VALUE!</v>
      </c>
      <c r="AE54" s="7" t="e">
        <f t="shared" si="53"/>
        <v>#VALUE!</v>
      </c>
      <c r="AF54" s="7" t="e">
        <f t="shared" si="54"/>
        <v>#VALUE!</v>
      </c>
      <c r="AG54" s="7" t="e">
        <f t="shared" si="55"/>
        <v>#VALUE!</v>
      </c>
      <c r="AH54" s="7">
        <f>$C$12</f>
        <v>3.183098861837907</v>
      </c>
      <c r="AJ54">
        <f t="shared" si="34"/>
        <v>1020</v>
      </c>
      <c r="AK54" s="7">
        <f t="shared" si="56"/>
        <v>0</v>
      </c>
      <c r="AL54" s="7">
        <f t="shared" si="57"/>
        <v>0</v>
      </c>
      <c r="AM54" s="7">
        <f t="shared" si="58"/>
        <v>1.808650716274284</v>
      </c>
      <c r="AN54" s="7">
        <f t="shared" si="59"/>
        <v>0.90796977999761386</v>
      </c>
      <c r="AO54" s="7">
        <f t="shared" si="60"/>
        <v>0</v>
      </c>
      <c r="AP54" s="7">
        <f t="shared" si="61"/>
        <v>3.2711974846942744</v>
      </c>
      <c r="AQ54" s="7" t="e">
        <f t="shared" si="62"/>
        <v>#VALUE!</v>
      </c>
      <c r="AR54" s="7" t="e">
        <f t="shared" si="63"/>
        <v>#VALUE!</v>
      </c>
      <c r="AS54" s="7" t="e">
        <f t="shared" si="64"/>
        <v>#VALUE!</v>
      </c>
      <c r="AT54" s="7" t="e">
        <f t="shared" si="65"/>
        <v>#VALUE!</v>
      </c>
      <c r="AU54" s="7" t="e">
        <f t="shared" si="66"/>
        <v>#VALUE!</v>
      </c>
      <c r="AV54" s="7" t="e">
        <f t="shared" si="67"/>
        <v>#VALUE!</v>
      </c>
      <c r="AW54" s="7" t="e">
        <f t="shared" si="68"/>
        <v>#VALUE!</v>
      </c>
      <c r="AX54" s="7" t="e">
        <f t="shared" si="69"/>
        <v>#VALUE!</v>
      </c>
      <c r="AY54" s="7" t="e">
        <f t="shared" si="70"/>
        <v>#VALUE!</v>
      </c>
      <c r="AZ54" s="7" t="e">
        <f t="shared" si="71"/>
        <v>#VALUE!</v>
      </c>
      <c r="BA54" s="7"/>
    </row>
    <row r="55" spans="3:53" x14ac:dyDescent="0.25">
      <c r="C55" s="1"/>
      <c r="P55">
        <f t="shared" si="35"/>
        <v>26</v>
      </c>
      <c r="Q55">
        <f t="shared" si="33"/>
        <v>1040</v>
      </c>
      <c r="R55" s="7">
        <f t="shared" si="40"/>
        <v>-1.288052987971815</v>
      </c>
      <c r="S55" s="7">
        <f t="shared" si="41"/>
        <v>-1.3351768777756619</v>
      </c>
      <c r="T55" s="7">
        <f t="shared" si="42"/>
        <v>-0.11586402720782496</v>
      </c>
      <c r="U55" s="7">
        <f t="shared" si="43"/>
        <v>-0.69747249368834685</v>
      </c>
      <c r="V55" s="7">
        <f t="shared" si="44"/>
        <v>-1.8849555921538759</v>
      </c>
      <c r="W55" s="7">
        <f t="shared" si="45"/>
        <v>-0.38898205765908123</v>
      </c>
      <c r="X55" s="7" t="e">
        <f t="shared" si="46"/>
        <v>#VALUE!</v>
      </c>
      <c r="Y55" s="7" t="e">
        <f t="shared" si="47"/>
        <v>#VALUE!</v>
      </c>
      <c r="Z55" s="7" t="e">
        <f t="shared" si="48"/>
        <v>#VALUE!</v>
      </c>
      <c r="AA55" s="7" t="e">
        <f t="shared" si="49"/>
        <v>#VALUE!</v>
      </c>
      <c r="AB55" s="7" t="e">
        <f t="shared" si="50"/>
        <v>#VALUE!</v>
      </c>
      <c r="AC55" s="7" t="e">
        <f t="shared" si="51"/>
        <v>#VALUE!</v>
      </c>
      <c r="AD55" s="7" t="e">
        <f t="shared" si="52"/>
        <v>#VALUE!</v>
      </c>
      <c r="AE55" s="7" t="e">
        <f t="shared" si="53"/>
        <v>#VALUE!</v>
      </c>
      <c r="AF55" s="7" t="e">
        <f t="shared" si="54"/>
        <v>#VALUE!</v>
      </c>
      <c r="AG55" s="7" t="e">
        <f t="shared" si="55"/>
        <v>#VALUE!</v>
      </c>
      <c r="AH55" s="7">
        <f>$C$12</f>
        <v>3.183098861837907</v>
      </c>
      <c r="AJ55">
        <f t="shared" si="34"/>
        <v>1040</v>
      </c>
      <c r="AK55" s="7">
        <f t="shared" si="56"/>
        <v>0</v>
      </c>
      <c r="AL55" s="7">
        <f t="shared" si="57"/>
        <v>0</v>
      </c>
      <c r="AM55" s="7">
        <f t="shared" si="58"/>
        <v>1.6397749899086869</v>
      </c>
      <c r="AN55" s="7">
        <f t="shared" si="59"/>
        <v>0.6065132956062006</v>
      </c>
      <c r="AO55" s="7">
        <f t="shared" si="60"/>
        <v>0</v>
      </c>
      <c r="AP55" s="7">
        <f t="shared" si="61"/>
        <v>2.451910190706744</v>
      </c>
      <c r="AQ55" s="7" t="e">
        <f t="shared" si="62"/>
        <v>#VALUE!</v>
      </c>
      <c r="AR55" s="7" t="e">
        <f t="shared" si="63"/>
        <v>#VALUE!</v>
      </c>
      <c r="AS55" s="7" t="e">
        <f t="shared" si="64"/>
        <v>#VALUE!</v>
      </c>
      <c r="AT55" s="7" t="e">
        <f t="shared" si="65"/>
        <v>#VALUE!</v>
      </c>
      <c r="AU55" s="7" t="e">
        <f t="shared" si="66"/>
        <v>#VALUE!</v>
      </c>
      <c r="AV55" s="7" t="e">
        <f t="shared" si="67"/>
        <v>#VALUE!</v>
      </c>
      <c r="AW55" s="7" t="e">
        <f t="shared" si="68"/>
        <v>#VALUE!</v>
      </c>
      <c r="AX55" s="7" t="e">
        <f t="shared" si="69"/>
        <v>#VALUE!</v>
      </c>
      <c r="AY55" s="7" t="e">
        <f t="shared" si="70"/>
        <v>#VALUE!</v>
      </c>
      <c r="AZ55" s="7" t="e">
        <f t="shared" si="71"/>
        <v>#VALUE!</v>
      </c>
      <c r="BA55" s="7"/>
    </row>
    <row r="56" spans="3:53" x14ac:dyDescent="0.25">
      <c r="C56" s="1"/>
      <c r="P56">
        <f t="shared" si="35"/>
        <v>26.5</v>
      </c>
      <c r="Q56">
        <f t="shared" si="33"/>
        <v>1060</v>
      </c>
      <c r="R56" s="7">
        <f t="shared" si="40"/>
        <v>-1.288052987971815</v>
      </c>
      <c r="S56" s="7">
        <f t="shared" si="41"/>
        <v>-1.3351768777756619</v>
      </c>
      <c r="T56" s="7">
        <f t="shared" si="42"/>
        <v>-0.23512188944355727</v>
      </c>
      <c r="U56" s="7">
        <f t="shared" si="43"/>
        <v>-0.88503531767542665</v>
      </c>
      <c r="V56" s="7">
        <f t="shared" si="44"/>
        <v>-1.8849555921538759</v>
      </c>
      <c r="W56" s="7">
        <f t="shared" si="45"/>
        <v>-0.90629745013074414</v>
      </c>
      <c r="X56" s="7" t="e">
        <f t="shared" si="46"/>
        <v>#VALUE!</v>
      </c>
      <c r="Y56" s="7" t="e">
        <f t="shared" si="47"/>
        <v>#VALUE!</v>
      </c>
      <c r="Z56" s="7" t="e">
        <f t="shared" si="48"/>
        <v>#VALUE!</v>
      </c>
      <c r="AA56" s="7" t="e">
        <f t="shared" si="49"/>
        <v>#VALUE!</v>
      </c>
      <c r="AB56" s="7" t="e">
        <f t="shared" si="50"/>
        <v>#VALUE!</v>
      </c>
      <c r="AC56" s="7" t="e">
        <f t="shared" si="51"/>
        <v>#VALUE!</v>
      </c>
      <c r="AD56" s="7" t="e">
        <f t="shared" si="52"/>
        <v>#VALUE!</v>
      </c>
      <c r="AE56" s="7" t="e">
        <f t="shared" si="53"/>
        <v>#VALUE!</v>
      </c>
      <c r="AF56" s="7" t="e">
        <f t="shared" si="54"/>
        <v>#VALUE!</v>
      </c>
      <c r="AG56" s="7" t="e">
        <f t="shared" si="55"/>
        <v>#VALUE!</v>
      </c>
      <c r="AH56" s="7">
        <f>$C$12</f>
        <v>3.183098861837907</v>
      </c>
      <c r="AJ56">
        <f t="shared" si="34"/>
        <v>1060</v>
      </c>
      <c r="AK56" s="7">
        <f t="shared" si="56"/>
        <v>0</v>
      </c>
      <c r="AL56" s="7">
        <f t="shared" si="57"/>
        <v>0</v>
      </c>
      <c r="AM56" s="7">
        <f t="shared" si="58"/>
        <v>1.4709977017183105</v>
      </c>
      <c r="AN56" s="7">
        <f t="shared" si="59"/>
        <v>0.30511388541982698</v>
      </c>
      <c r="AO56" s="7">
        <f t="shared" si="60"/>
        <v>0</v>
      </c>
      <c r="AP56" s="7">
        <f t="shared" si="61"/>
        <v>1.6329350712109816</v>
      </c>
      <c r="AQ56" s="7" t="e">
        <f t="shared" si="62"/>
        <v>#VALUE!</v>
      </c>
      <c r="AR56" s="7" t="e">
        <f t="shared" si="63"/>
        <v>#VALUE!</v>
      </c>
      <c r="AS56" s="7" t="e">
        <f t="shared" si="64"/>
        <v>#VALUE!</v>
      </c>
      <c r="AT56" s="7" t="e">
        <f t="shared" si="65"/>
        <v>#VALUE!</v>
      </c>
      <c r="AU56" s="7" t="e">
        <f t="shared" si="66"/>
        <v>#VALUE!</v>
      </c>
      <c r="AV56" s="7" t="e">
        <f t="shared" si="67"/>
        <v>#VALUE!</v>
      </c>
      <c r="AW56" s="7" t="e">
        <f t="shared" si="68"/>
        <v>#VALUE!</v>
      </c>
      <c r="AX56" s="7" t="e">
        <f t="shared" si="69"/>
        <v>#VALUE!</v>
      </c>
      <c r="AY56" s="7" t="e">
        <f t="shared" si="70"/>
        <v>#VALUE!</v>
      </c>
      <c r="AZ56" s="7" t="e">
        <f t="shared" si="71"/>
        <v>#VALUE!</v>
      </c>
      <c r="BA56" s="7"/>
    </row>
    <row r="57" spans="3:53" x14ac:dyDescent="0.25">
      <c r="P57">
        <f t="shared" si="35"/>
        <v>27</v>
      </c>
      <c r="Q57">
        <f t="shared" si="33"/>
        <v>1080</v>
      </c>
      <c r="R57" s="7">
        <f t="shared" si="40"/>
        <v>-1.288052987971815</v>
      </c>
      <c r="S57" s="7">
        <f t="shared" si="41"/>
        <v>-1.3351768777756619</v>
      </c>
      <c r="T57" s="7">
        <f t="shared" si="42"/>
        <v>-0.35006276718563667</v>
      </c>
      <c r="U57" s="7">
        <f t="shared" si="43"/>
        <v>-1.0659360886292217</v>
      </c>
      <c r="V57" s="7">
        <f t="shared" si="44"/>
        <v>-1.8849555921538759</v>
      </c>
      <c r="W57" s="7">
        <f t="shared" si="45"/>
        <v>-1.4055195754145187</v>
      </c>
      <c r="X57" s="7" t="e">
        <f t="shared" si="46"/>
        <v>#VALUE!</v>
      </c>
      <c r="Y57" s="7" t="e">
        <f t="shared" si="47"/>
        <v>#VALUE!</v>
      </c>
      <c r="Z57" s="7" t="e">
        <f t="shared" si="48"/>
        <v>#VALUE!</v>
      </c>
      <c r="AA57" s="7" t="e">
        <f t="shared" si="49"/>
        <v>#VALUE!</v>
      </c>
      <c r="AB57" s="7" t="e">
        <f t="shared" si="50"/>
        <v>#VALUE!</v>
      </c>
      <c r="AC57" s="7" t="e">
        <f t="shared" si="51"/>
        <v>#VALUE!</v>
      </c>
      <c r="AD57" s="7" t="e">
        <f t="shared" si="52"/>
        <v>#VALUE!</v>
      </c>
      <c r="AE57" s="7" t="e">
        <f t="shared" si="53"/>
        <v>#VALUE!</v>
      </c>
      <c r="AF57" s="7" t="e">
        <f t="shared" si="54"/>
        <v>#VALUE!</v>
      </c>
      <c r="AG57" s="7" t="e">
        <f t="shared" si="55"/>
        <v>#VALUE!</v>
      </c>
      <c r="AH57" s="7">
        <f>$C$12</f>
        <v>3.183098861837907</v>
      </c>
      <c r="AJ57">
        <f t="shared" si="34"/>
        <v>1080</v>
      </c>
      <c r="AK57" s="7">
        <f t="shared" si="56"/>
        <v>0</v>
      </c>
      <c r="AL57" s="7">
        <f t="shared" si="57"/>
        <v>0</v>
      </c>
      <c r="AM57" s="7">
        <f t="shared" si="58"/>
        <v>1.3023024071571039</v>
      </c>
      <c r="AN57" s="7">
        <f t="shared" si="59"/>
        <v>3.7413209226874007E-3</v>
      </c>
      <c r="AO57" s="7">
        <f t="shared" si="60"/>
        <v>0</v>
      </c>
      <c r="AP57" s="7">
        <f t="shared" si="61"/>
        <v>0.81415382813100379</v>
      </c>
      <c r="AQ57" s="7" t="e">
        <f t="shared" si="62"/>
        <v>#VALUE!</v>
      </c>
      <c r="AR57" s="7" t="e">
        <f t="shared" si="63"/>
        <v>#VALUE!</v>
      </c>
      <c r="AS57" s="7" t="e">
        <f t="shared" si="64"/>
        <v>#VALUE!</v>
      </c>
      <c r="AT57" s="7" t="e">
        <f t="shared" si="65"/>
        <v>#VALUE!</v>
      </c>
      <c r="AU57" s="7" t="e">
        <f t="shared" si="66"/>
        <v>#VALUE!</v>
      </c>
      <c r="AV57" s="7" t="e">
        <f t="shared" si="67"/>
        <v>#VALUE!</v>
      </c>
      <c r="AW57" s="7" t="e">
        <f t="shared" si="68"/>
        <v>#VALUE!</v>
      </c>
      <c r="AX57" s="7" t="e">
        <f t="shared" si="69"/>
        <v>#VALUE!</v>
      </c>
      <c r="AY57" s="7" t="e">
        <f t="shared" si="70"/>
        <v>#VALUE!</v>
      </c>
      <c r="AZ57" s="7" t="e">
        <f t="shared" si="71"/>
        <v>#VALUE!</v>
      </c>
      <c r="BA57" s="7"/>
    </row>
    <row r="58" spans="3:53" x14ac:dyDescent="0.25">
      <c r="P58">
        <f t="shared" si="35"/>
        <v>27.5</v>
      </c>
      <c r="Q58">
        <f t="shared" si="33"/>
        <v>1100</v>
      </c>
      <c r="R58" s="7">
        <f t="shared" si="40"/>
        <v>-1.288052987971815</v>
      </c>
      <c r="S58" s="7">
        <f t="shared" si="41"/>
        <v>-1.3351768777756619</v>
      </c>
      <c r="T58" s="7">
        <f t="shared" si="42"/>
        <v>-0.46091689739675901</v>
      </c>
      <c r="U58" s="7">
        <f t="shared" si="43"/>
        <v>-1.0681415022205296</v>
      </c>
      <c r="V58" s="7">
        <f t="shared" si="44"/>
        <v>-1.8849555921538759</v>
      </c>
      <c r="W58" s="7">
        <f t="shared" si="45"/>
        <v>-1.8849555921538759</v>
      </c>
      <c r="X58" s="7" t="e">
        <f t="shared" si="46"/>
        <v>#VALUE!</v>
      </c>
      <c r="Y58" s="7" t="e">
        <f t="shared" si="47"/>
        <v>#VALUE!</v>
      </c>
      <c r="Z58" s="7" t="e">
        <f t="shared" si="48"/>
        <v>#VALUE!</v>
      </c>
      <c r="AA58" s="7" t="e">
        <f t="shared" si="49"/>
        <v>#VALUE!</v>
      </c>
      <c r="AB58" s="7" t="e">
        <f t="shared" si="50"/>
        <v>#VALUE!</v>
      </c>
      <c r="AC58" s="7" t="e">
        <f t="shared" si="51"/>
        <v>#VALUE!</v>
      </c>
      <c r="AD58" s="7" t="e">
        <f t="shared" si="52"/>
        <v>#VALUE!</v>
      </c>
      <c r="AE58" s="7" t="e">
        <f t="shared" si="53"/>
        <v>#VALUE!</v>
      </c>
      <c r="AF58" s="7" t="e">
        <f t="shared" si="54"/>
        <v>#VALUE!</v>
      </c>
      <c r="AG58" s="7" t="e">
        <f t="shared" si="55"/>
        <v>#VALUE!</v>
      </c>
      <c r="AH58" s="7">
        <f>$C$12</f>
        <v>3.183098861837907</v>
      </c>
      <c r="AJ58">
        <f t="shared" si="34"/>
        <v>1100</v>
      </c>
      <c r="AK58" s="7">
        <f t="shared" si="56"/>
        <v>0</v>
      </c>
      <c r="AL58" s="7">
        <f t="shared" si="57"/>
        <v>0</v>
      </c>
      <c r="AM58" s="7">
        <f t="shared" si="58"/>
        <v>1.1336746063189653</v>
      </c>
      <c r="AN58" s="7">
        <f t="shared" si="59"/>
        <v>0</v>
      </c>
      <c r="AO58" s="7">
        <f t="shared" si="60"/>
        <v>0</v>
      </c>
      <c r="AP58" s="7">
        <f t="shared" si="61"/>
        <v>0</v>
      </c>
      <c r="AQ58" s="7" t="e">
        <f t="shared" si="62"/>
        <v>#VALUE!</v>
      </c>
      <c r="AR58" s="7" t="e">
        <f t="shared" si="63"/>
        <v>#VALUE!</v>
      </c>
      <c r="AS58" s="7" t="e">
        <f t="shared" si="64"/>
        <v>#VALUE!</v>
      </c>
      <c r="AT58" s="7" t="e">
        <f t="shared" si="65"/>
        <v>#VALUE!</v>
      </c>
      <c r="AU58" s="7" t="e">
        <f t="shared" si="66"/>
        <v>#VALUE!</v>
      </c>
      <c r="AV58" s="7" t="e">
        <f t="shared" si="67"/>
        <v>#VALUE!</v>
      </c>
      <c r="AW58" s="7" t="e">
        <f t="shared" si="68"/>
        <v>#VALUE!</v>
      </c>
      <c r="AX58" s="7" t="e">
        <f t="shared" si="69"/>
        <v>#VALUE!</v>
      </c>
      <c r="AY58" s="7" t="e">
        <f t="shared" si="70"/>
        <v>#VALUE!</v>
      </c>
      <c r="AZ58" s="7" t="e">
        <f t="shared" si="71"/>
        <v>#VALUE!</v>
      </c>
      <c r="BA58" s="7"/>
    </row>
    <row r="59" spans="3:53" x14ac:dyDescent="0.25">
      <c r="P59">
        <f t="shared" si="35"/>
        <v>28</v>
      </c>
      <c r="Q59">
        <f t="shared" si="33"/>
        <v>1120</v>
      </c>
      <c r="R59" s="7">
        <f t="shared" si="40"/>
        <v>-1.288052987971815</v>
      </c>
      <c r="S59" s="7">
        <f t="shared" si="41"/>
        <v>-1.3351768777756619</v>
      </c>
      <c r="T59" s="7">
        <f t="shared" si="42"/>
        <v>-0.56789843076601243</v>
      </c>
      <c r="U59" s="7">
        <f t="shared" si="43"/>
        <v>-1.0681415022205296</v>
      </c>
      <c r="V59" s="7">
        <f t="shared" si="44"/>
        <v>-1.8849555921538759</v>
      </c>
      <c r="W59" s="7">
        <f t="shared" si="45"/>
        <v>-1.8849555921538759</v>
      </c>
      <c r="X59" s="7" t="e">
        <f t="shared" si="46"/>
        <v>#VALUE!</v>
      </c>
      <c r="Y59" s="7" t="e">
        <f t="shared" si="47"/>
        <v>#VALUE!</v>
      </c>
      <c r="Z59" s="7" t="e">
        <f t="shared" si="48"/>
        <v>#VALUE!</v>
      </c>
      <c r="AA59" s="7" t="e">
        <f t="shared" si="49"/>
        <v>#VALUE!</v>
      </c>
      <c r="AB59" s="7" t="e">
        <f t="shared" si="50"/>
        <v>#VALUE!</v>
      </c>
      <c r="AC59" s="7" t="e">
        <f t="shared" si="51"/>
        <v>#VALUE!</v>
      </c>
      <c r="AD59" s="7" t="e">
        <f t="shared" si="52"/>
        <v>#VALUE!</v>
      </c>
      <c r="AE59" s="7" t="e">
        <f t="shared" si="53"/>
        <v>#VALUE!</v>
      </c>
      <c r="AF59" s="7" t="e">
        <f t="shared" si="54"/>
        <v>#VALUE!</v>
      </c>
      <c r="AG59" s="7" t="e">
        <f t="shared" si="55"/>
        <v>#VALUE!</v>
      </c>
      <c r="AH59" s="7">
        <f>$C$12</f>
        <v>3.183098861837907</v>
      </c>
      <c r="AJ59">
        <f t="shared" si="34"/>
        <v>1120</v>
      </c>
      <c r="AK59" s="7">
        <f t="shared" si="56"/>
        <v>0</v>
      </c>
      <c r="AL59" s="7">
        <f t="shared" si="57"/>
        <v>0</v>
      </c>
      <c r="AM59" s="7">
        <f t="shared" si="58"/>
        <v>0.96510150757668267</v>
      </c>
      <c r="AN59" s="7">
        <f t="shared" si="59"/>
        <v>0</v>
      </c>
      <c r="AO59" s="7">
        <f t="shared" si="60"/>
        <v>0</v>
      </c>
      <c r="AP59" s="7">
        <f t="shared" si="61"/>
        <v>0</v>
      </c>
      <c r="AQ59" s="7" t="e">
        <f t="shared" si="62"/>
        <v>#VALUE!</v>
      </c>
      <c r="AR59" s="7" t="e">
        <f t="shared" si="63"/>
        <v>#VALUE!</v>
      </c>
      <c r="AS59" s="7" t="e">
        <f t="shared" si="64"/>
        <v>#VALUE!</v>
      </c>
      <c r="AT59" s="7" t="e">
        <f t="shared" si="65"/>
        <v>#VALUE!</v>
      </c>
      <c r="AU59" s="7" t="e">
        <f t="shared" si="66"/>
        <v>#VALUE!</v>
      </c>
      <c r="AV59" s="7" t="e">
        <f t="shared" si="67"/>
        <v>#VALUE!</v>
      </c>
      <c r="AW59" s="7" t="e">
        <f t="shared" si="68"/>
        <v>#VALUE!</v>
      </c>
      <c r="AX59" s="7" t="e">
        <f t="shared" si="69"/>
        <v>#VALUE!</v>
      </c>
      <c r="AY59" s="7" t="e">
        <f t="shared" si="70"/>
        <v>#VALUE!</v>
      </c>
      <c r="AZ59" s="7" t="e">
        <f t="shared" si="71"/>
        <v>#VALUE!</v>
      </c>
      <c r="BA59" s="7"/>
    </row>
    <row r="60" spans="3:53" x14ac:dyDescent="0.25">
      <c r="P60">
        <f t="shared" si="35"/>
        <v>28.5</v>
      </c>
      <c r="Q60">
        <f t="shared" si="33"/>
        <v>1140</v>
      </c>
      <c r="R60" s="7">
        <f t="shared" si="40"/>
        <v>-1.288052987971815</v>
      </c>
      <c r="S60" s="7">
        <f t="shared" si="41"/>
        <v>-1.3351768777756619</v>
      </c>
      <c r="T60" s="7">
        <f t="shared" si="42"/>
        <v>-0.67120681249209058</v>
      </c>
      <c r="U60" s="7">
        <f t="shared" si="43"/>
        <v>-1.0681415022205296</v>
      </c>
      <c r="V60" s="7">
        <f t="shared" si="44"/>
        <v>-1.8849555921538759</v>
      </c>
      <c r="W60" s="7">
        <f t="shared" si="45"/>
        <v>-1.8849555921538759</v>
      </c>
      <c r="X60" s="7" t="e">
        <f t="shared" si="46"/>
        <v>#VALUE!</v>
      </c>
      <c r="Y60" s="7" t="e">
        <f t="shared" si="47"/>
        <v>#VALUE!</v>
      </c>
      <c r="Z60" s="7" t="e">
        <f t="shared" si="48"/>
        <v>#VALUE!</v>
      </c>
      <c r="AA60" s="7" t="e">
        <f t="shared" si="49"/>
        <v>#VALUE!</v>
      </c>
      <c r="AB60" s="7" t="e">
        <f t="shared" si="50"/>
        <v>#VALUE!</v>
      </c>
      <c r="AC60" s="7" t="e">
        <f t="shared" si="51"/>
        <v>#VALUE!</v>
      </c>
      <c r="AD60" s="7" t="e">
        <f t="shared" si="52"/>
        <v>#VALUE!</v>
      </c>
      <c r="AE60" s="7" t="e">
        <f t="shared" si="53"/>
        <v>#VALUE!</v>
      </c>
      <c r="AF60" s="7" t="e">
        <f t="shared" si="54"/>
        <v>#VALUE!</v>
      </c>
      <c r="AG60" s="7" t="e">
        <f t="shared" si="55"/>
        <v>#VALUE!</v>
      </c>
      <c r="AH60" s="7">
        <f>$C$12</f>
        <v>3.183098861837907</v>
      </c>
      <c r="AJ60">
        <f t="shared" si="34"/>
        <v>1140</v>
      </c>
      <c r="AK60" s="7">
        <f t="shared" si="56"/>
        <v>0</v>
      </c>
      <c r="AL60" s="7">
        <f t="shared" si="57"/>
        <v>0</v>
      </c>
      <c r="AM60" s="7">
        <f t="shared" si="58"/>
        <v>0.79657182230153467</v>
      </c>
      <c r="AN60" s="7">
        <f t="shared" si="59"/>
        <v>0</v>
      </c>
      <c r="AO60" s="7">
        <f t="shared" si="60"/>
        <v>0</v>
      </c>
      <c r="AP60" s="7">
        <f t="shared" si="61"/>
        <v>0</v>
      </c>
      <c r="AQ60" s="7" t="e">
        <f t="shared" si="62"/>
        <v>#VALUE!</v>
      </c>
      <c r="AR60" s="7" t="e">
        <f t="shared" si="63"/>
        <v>#VALUE!</v>
      </c>
      <c r="AS60" s="7" t="e">
        <f t="shared" si="64"/>
        <v>#VALUE!</v>
      </c>
      <c r="AT60" s="7" t="e">
        <f t="shared" si="65"/>
        <v>#VALUE!</v>
      </c>
      <c r="AU60" s="7" t="e">
        <f t="shared" si="66"/>
        <v>#VALUE!</v>
      </c>
      <c r="AV60" s="7" t="e">
        <f t="shared" si="67"/>
        <v>#VALUE!</v>
      </c>
      <c r="AW60" s="7" t="e">
        <f t="shared" si="68"/>
        <v>#VALUE!</v>
      </c>
      <c r="AX60" s="7" t="e">
        <f t="shared" si="69"/>
        <v>#VALUE!</v>
      </c>
      <c r="AY60" s="7" t="e">
        <f t="shared" si="70"/>
        <v>#VALUE!</v>
      </c>
      <c r="AZ60" s="7" t="e">
        <f t="shared" si="71"/>
        <v>#VALUE!</v>
      </c>
      <c r="BA60" s="7"/>
    </row>
    <row r="61" spans="3:53" x14ac:dyDescent="0.25">
      <c r="P61">
        <f t="shared" si="35"/>
        <v>29</v>
      </c>
      <c r="Q61">
        <f t="shared" si="33"/>
        <v>1160</v>
      </c>
      <c r="R61" s="7">
        <f t="shared" si="40"/>
        <v>-1.288052987971815</v>
      </c>
      <c r="S61" s="7">
        <f t="shared" si="41"/>
        <v>-1.3351768777756619</v>
      </c>
      <c r="T61" s="7">
        <f t="shared" si="42"/>
        <v>-0.77102802324164177</v>
      </c>
      <c r="U61" s="7">
        <f t="shared" si="43"/>
        <v>-1.0681415022205296</v>
      </c>
      <c r="V61" s="7">
        <f t="shared" si="44"/>
        <v>-1.8849555921538759</v>
      </c>
      <c r="W61" s="7">
        <f t="shared" si="45"/>
        <v>-1.8849555921538759</v>
      </c>
      <c r="X61" s="7" t="e">
        <f t="shared" si="46"/>
        <v>#VALUE!</v>
      </c>
      <c r="Y61" s="7" t="e">
        <f t="shared" si="47"/>
        <v>#VALUE!</v>
      </c>
      <c r="Z61" s="7" t="e">
        <f t="shared" si="48"/>
        <v>#VALUE!</v>
      </c>
      <c r="AA61" s="7" t="e">
        <f t="shared" si="49"/>
        <v>#VALUE!</v>
      </c>
      <c r="AB61" s="7" t="e">
        <f t="shared" si="50"/>
        <v>#VALUE!</v>
      </c>
      <c r="AC61" s="7" t="e">
        <f t="shared" si="51"/>
        <v>#VALUE!</v>
      </c>
      <c r="AD61" s="7" t="e">
        <f t="shared" si="52"/>
        <v>#VALUE!</v>
      </c>
      <c r="AE61" s="7" t="e">
        <f t="shared" si="53"/>
        <v>#VALUE!</v>
      </c>
      <c r="AF61" s="7" t="e">
        <f t="shared" si="54"/>
        <v>#VALUE!</v>
      </c>
      <c r="AG61" s="7" t="e">
        <f t="shared" si="55"/>
        <v>#VALUE!</v>
      </c>
      <c r="AH61" s="7">
        <f>$C$12</f>
        <v>3.183098861837907</v>
      </c>
      <c r="AJ61">
        <f t="shared" si="34"/>
        <v>1160</v>
      </c>
      <c r="AK61" s="7">
        <f t="shared" si="56"/>
        <v>0</v>
      </c>
      <c r="AL61" s="7">
        <f t="shared" si="57"/>
        <v>0</v>
      </c>
      <c r="AM61" s="7">
        <f t="shared" si="58"/>
        <v>0.62807558620936121</v>
      </c>
      <c r="AN61" s="7">
        <f t="shared" si="59"/>
        <v>0</v>
      </c>
      <c r="AO61" s="7">
        <f t="shared" si="60"/>
        <v>0</v>
      </c>
      <c r="AP61" s="7">
        <f t="shared" si="61"/>
        <v>0</v>
      </c>
      <c r="AQ61" s="7" t="e">
        <f t="shared" si="62"/>
        <v>#VALUE!</v>
      </c>
      <c r="AR61" s="7" t="e">
        <f t="shared" si="63"/>
        <v>#VALUE!</v>
      </c>
      <c r="AS61" s="7" t="e">
        <f t="shared" si="64"/>
        <v>#VALUE!</v>
      </c>
      <c r="AT61" s="7" t="e">
        <f t="shared" si="65"/>
        <v>#VALUE!</v>
      </c>
      <c r="AU61" s="7" t="e">
        <f t="shared" si="66"/>
        <v>#VALUE!</v>
      </c>
      <c r="AV61" s="7" t="e">
        <f t="shared" si="67"/>
        <v>#VALUE!</v>
      </c>
      <c r="AW61" s="7" t="e">
        <f t="shared" si="68"/>
        <v>#VALUE!</v>
      </c>
      <c r="AX61" s="7" t="e">
        <f t="shared" si="69"/>
        <v>#VALUE!</v>
      </c>
      <c r="AY61" s="7" t="e">
        <f t="shared" si="70"/>
        <v>#VALUE!</v>
      </c>
      <c r="AZ61" s="7" t="e">
        <f t="shared" si="71"/>
        <v>#VALUE!</v>
      </c>
      <c r="BA61" s="7"/>
    </row>
    <row r="62" spans="3:53" x14ac:dyDescent="0.25">
      <c r="P62">
        <f t="shared" si="35"/>
        <v>29.5</v>
      </c>
      <c r="Q62">
        <f t="shared" si="33"/>
        <v>1180</v>
      </c>
      <c r="R62" s="7">
        <f t="shared" si="40"/>
        <v>-1.288052987971815</v>
      </c>
      <c r="S62" s="7">
        <f t="shared" si="41"/>
        <v>-1.3351768777756619</v>
      </c>
      <c r="T62" s="7">
        <f t="shared" si="42"/>
        <v>-0.86753569652780249</v>
      </c>
      <c r="U62" s="7">
        <f t="shared" si="43"/>
        <v>-1.0681415022205296</v>
      </c>
      <c r="V62" s="7">
        <f t="shared" si="44"/>
        <v>-1.8849555921538759</v>
      </c>
      <c r="W62" s="7">
        <f t="shared" si="45"/>
        <v>-1.8849555921538759</v>
      </c>
      <c r="X62" s="7" t="e">
        <f t="shared" si="46"/>
        <v>#VALUE!</v>
      </c>
      <c r="Y62" s="7" t="e">
        <f t="shared" si="47"/>
        <v>#VALUE!</v>
      </c>
      <c r="Z62" s="7" t="e">
        <f t="shared" si="48"/>
        <v>#VALUE!</v>
      </c>
      <c r="AA62" s="7" t="e">
        <f t="shared" si="49"/>
        <v>#VALUE!</v>
      </c>
      <c r="AB62" s="7" t="e">
        <f t="shared" si="50"/>
        <v>#VALUE!</v>
      </c>
      <c r="AC62" s="7" t="e">
        <f t="shared" si="51"/>
        <v>#VALUE!</v>
      </c>
      <c r="AD62" s="7" t="e">
        <f t="shared" si="52"/>
        <v>#VALUE!</v>
      </c>
      <c r="AE62" s="7" t="e">
        <f t="shared" si="53"/>
        <v>#VALUE!</v>
      </c>
      <c r="AF62" s="7" t="e">
        <f t="shared" si="54"/>
        <v>#VALUE!</v>
      </c>
      <c r="AG62" s="7" t="e">
        <f t="shared" si="55"/>
        <v>#VALUE!</v>
      </c>
      <c r="AH62" s="7">
        <f>$C$12</f>
        <v>3.183098861837907</v>
      </c>
      <c r="AJ62">
        <f t="shared" si="34"/>
        <v>1180</v>
      </c>
      <c r="AK62" s="7">
        <f t="shared" si="56"/>
        <v>0</v>
      </c>
      <c r="AL62" s="7">
        <f t="shared" si="57"/>
        <v>0</v>
      </c>
      <c r="AM62" s="7">
        <f t="shared" si="58"/>
        <v>0.45960400357253184</v>
      </c>
      <c r="AN62" s="7">
        <f t="shared" si="59"/>
        <v>0</v>
      </c>
      <c r="AO62" s="7">
        <f t="shared" si="60"/>
        <v>0</v>
      </c>
      <c r="AP62" s="7">
        <f t="shared" si="61"/>
        <v>0</v>
      </c>
      <c r="AQ62" s="7" t="e">
        <f t="shared" si="62"/>
        <v>#VALUE!</v>
      </c>
      <c r="AR62" s="7" t="e">
        <f t="shared" si="63"/>
        <v>#VALUE!</v>
      </c>
      <c r="AS62" s="7" t="e">
        <f t="shared" si="64"/>
        <v>#VALUE!</v>
      </c>
      <c r="AT62" s="7" t="e">
        <f t="shared" si="65"/>
        <v>#VALUE!</v>
      </c>
      <c r="AU62" s="7" t="e">
        <f t="shared" si="66"/>
        <v>#VALUE!</v>
      </c>
      <c r="AV62" s="7" t="e">
        <f t="shared" si="67"/>
        <v>#VALUE!</v>
      </c>
      <c r="AW62" s="7" t="e">
        <f t="shared" si="68"/>
        <v>#VALUE!</v>
      </c>
      <c r="AX62" s="7" t="e">
        <f t="shared" si="69"/>
        <v>#VALUE!</v>
      </c>
      <c r="AY62" s="7" t="e">
        <f t="shared" si="70"/>
        <v>#VALUE!</v>
      </c>
      <c r="AZ62" s="7" t="e">
        <f t="shared" si="71"/>
        <v>#VALUE!</v>
      </c>
      <c r="BA62" s="7"/>
    </row>
    <row r="63" spans="3:53" x14ac:dyDescent="0.25">
      <c r="P63">
        <f t="shared" si="35"/>
        <v>30</v>
      </c>
      <c r="Q63">
        <f t="shared" si="33"/>
        <v>1200</v>
      </c>
      <c r="R63" s="7">
        <f t="shared" si="40"/>
        <v>-1.288052987971815</v>
      </c>
      <c r="S63" s="7">
        <f t="shared" si="41"/>
        <v>-1.3351768777756619</v>
      </c>
      <c r="T63" s="7">
        <f t="shared" si="42"/>
        <v>-0.96089212663221013</v>
      </c>
      <c r="U63" s="7">
        <f t="shared" si="43"/>
        <v>-1.0681415022205296</v>
      </c>
      <c r="V63" s="7">
        <f t="shared" si="44"/>
        <v>-1.8849555921538759</v>
      </c>
      <c r="W63" s="7">
        <f t="shared" si="45"/>
        <v>-1.8849555921538759</v>
      </c>
      <c r="X63" s="7" t="e">
        <f t="shared" si="46"/>
        <v>#VALUE!</v>
      </c>
      <c r="Y63" s="7" t="e">
        <f t="shared" si="47"/>
        <v>#VALUE!</v>
      </c>
      <c r="Z63" s="7" t="e">
        <f t="shared" si="48"/>
        <v>#VALUE!</v>
      </c>
      <c r="AA63" s="7" t="e">
        <f t="shared" si="49"/>
        <v>#VALUE!</v>
      </c>
      <c r="AB63" s="7" t="e">
        <f t="shared" si="50"/>
        <v>#VALUE!</v>
      </c>
      <c r="AC63" s="7" t="e">
        <f t="shared" si="51"/>
        <v>#VALUE!</v>
      </c>
      <c r="AD63" s="7" t="e">
        <f t="shared" si="52"/>
        <v>#VALUE!</v>
      </c>
      <c r="AE63" s="7" t="e">
        <f t="shared" si="53"/>
        <v>#VALUE!</v>
      </c>
      <c r="AF63" s="7" t="e">
        <f t="shared" si="54"/>
        <v>#VALUE!</v>
      </c>
      <c r="AG63" s="7" t="e">
        <f t="shared" si="55"/>
        <v>#VALUE!</v>
      </c>
      <c r="AH63" s="7">
        <f>$C$12</f>
        <v>3.183098861837907</v>
      </c>
      <c r="AJ63">
        <f t="shared" si="34"/>
        <v>1200</v>
      </c>
      <c r="AK63" s="7">
        <f t="shared" si="56"/>
        <v>0</v>
      </c>
      <c r="AL63" s="7">
        <f t="shared" si="57"/>
        <v>0</v>
      </c>
      <c r="AM63" s="7">
        <f t="shared" si="58"/>
        <v>0.2911493111140635</v>
      </c>
      <c r="AN63" s="7">
        <f t="shared" si="59"/>
        <v>0</v>
      </c>
      <c r="AO63" s="7">
        <f t="shared" si="60"/>
        <v>0</v>
      </c>
      <c r="AP63" s="7">
        <f t="shared" si="61"/>
        <v>0</v>
      </c>
      <c r="AQ63" s="7" t="e">
        <f t="shared" si="62"/>
        <v>#VALUE!</v>
      </c>
      <c r="AR63" s="7" t="e">
        <f t="shared" si="63"/>
        <v>#VALUE!</v>
      </c>
      <c r="AS63" s="7" t="e">
        <f t="shared" si="64"/>
        <v>#VALUE!</v>
      </c>
      <c r="AT63" s="7" t="e">
        <f t="shared" si="65"/>
        <v>#VALUE!</v>
      </c>
      <c r="AU63" s="7" t="e">
        <f t="shared" si="66"/>
        <v>#VALUE!</v>
      </c>
      <c r="AV63" s="7" t="e">
        <f t="shared" si="67"/>
        <v>#VALUE!</v>
      </c>
      <c r="AW63" s="7" t="e">
        <f t="shared" si="68"/>
        <v>#VALUE!</v>
      </c>
      <c r="AX63" s="7" t="e">
        <f t="shared" si="69"/>
        <v>#VALUE!</v>
      </c>
      <c r="AY63" s="7" t="e">
        <f t="shared" si="70"/>
        <v>#VALUE!</v>
      </c>
      <c r="AZ63" s="7" t="e">
        <f t="shared" si="71"/>
        <v>#VALUE!</v>
      </c>
      <c r="BA63" s="7"/>
    </row>
    <row r="64" spans="3:53" x14ac:dyDescent="0.25">
      <c r="P64">
        <f t="shared" si="35"/>
        <v>30.5</v>
      </c>
      <c r="Q64">
        <f t="shared" si="33"/>
        <v>1220</v>
      </c>
      <c r="R64" s="7">
        <f t="shared" si="40"/>
        <v>-1.288052987971815</v>
      </c>
      <c r="S64" s="7">
        <f t="shared" si="41"/>
        <v>-1.3351768777756619</v>
      </c>
      <c r="T64" s="7">
        <f t="shared" si="42"/>
        <v>-1.0512491793787493</v>
      </c>
      <c r="U64" s="7">
        <f t="shared" si="43"/>
        <v>-1.0681415022205296</v>
      </c>
      <c r="V64" s="7">
        <f t="shared" si="44"/>
        <v>-1.8849555921538759</v>
      </c>
      <c r="W64" s="7">
        <f t="shared" si="45"/>
        <v>-1.8849555921538759</v>
      </c>
      <c r="X64" s="7" t="e">
        <f t="shared" si="46"/>
        <v>#VALUE!</v>
      </c>
      <c r="Y64" s="7" t="e">
        <f t="shared" si="47"/>
        <v>#VALUE!</v>
      </c>
      <c r="Z64" s="7" t="e">
        <f t="shared" si="48"/>
        <v>#VALUE!</v>
      </c>
      <c r="AA64" s="7" t="e">
        <f t="shared" si="49"/>
        <v>#VALUE!</v>
      </c>
      <c r="AB64" s="7" t="e">
        <f t="shared" si="50"/>
        <v>#VALUE!</v>
      </c>
      <c r="AC64" s="7" t="e">
        <f t="shared" si="51"/>
        <v>#VALUE!</v>
      </c>
      <c r="AD64" s="7" t="e">
        <f t="shared" si="52"/>
        <v>#VALUE!</v>
      </c>
      <c r="AE64" s="7" t="e">
        <f t="shared" si="53"/>
        <v>#VALUE!</v>
      </c>
      <c r="AF64" s="7" t="e">
        <f t="shared" si="54"/>
        <v>#VALUE!</v>
      </c>
      <c r="AG64" s="7" t="e">
        <f t="shared" si="55"/>
        <v>#VALUE!</v>
      </c>
      <c r="AH64" s="7">
        <f>$C$12</f>
        <v>3.183098861837907</v>
      </c>
      <c r="AJ64">
        <f t="shared" si="34"/>
        <v>1220</v>
      </c>
      <c r="AK64" s="7">
        <f t="shared" si="56"/>
        <v>0</v>
      </c>
      <c r="AL64" s="7">
        <f t="shared" si="57"/>
        <v>0</v>
      </c>
      <c r="AM64" s="7">
        <f t="shared" si="58"/>
        <v>0.12270465888146767</v>
      </c>
      <c r="AN64" s="7">
        <f t="shared" si="59"/>
        <v>0</v>
      </c>
      <c r="AO64" s="7">
        <f t="shared" si="60"/>
        <v>0</v>
      </c>
      <c r="AP64" s="7">
        <f t="shared" si="61"/>
        <v>0</v>
      </c>
      <c r="AQ64" s="7" t="e">
        <f t="shared" si="62"/>
        <v>#VALUE!</v>
      </c>
      <c r="AR64" s="7" t="e">
        <f t="shared" si="63"/>
        <v>#VALUE!</v>
      </c>
      <c r="AS64" s="7" t="e">
        <f t="shared" si="64"/>
        <v>#VALUE!</v>
      </c>
      <c r="AT64" s="7" t="e">
        <f t="shared" si="65"/>
        <v>#VALUE!</v>
      </c>
      <c r="AU64" s="7" t="e">
        <f t="shared" si="66"/>
        <v>#VALUE!</v>
      </c>
      <c r="AV64" s="7" t="e">
        <f t="shared" si="67"/>
        <v>#VALUE!</v>
      </c>
      <c r="AW64" s="7" t="e">
        <f t="shared" si="68"/>
        <v>#VALUE!</v>
      </c>
      <c r="AX64" s="7" t="e">
        <f t="shared" si="69"/>
        <v>#VALUE!</v>
      </c>
      <c r="AY64" s="7" t="e">
        <f t="shared" si="70"/>
        <v>#VALUE!</v>
      </c>
      <c r="AZ64" s="7" t="e">
        <f t="shared" si="71"/>
        <v>#VALUE!</v>
      </c>
      <c r="BA64" s="7"/>
    </row>
    <row r="65" spans="16:53" x14ac:dyDescent="0.25">
      <c r="P65">
        <f t="shared" si="35"/>
        <v>31</v>
      </c>
      <c r="Q65">
        <f t="shared" si="33"/>
        <v>1240</v>
      </c>
      <c r="R65" s="7">
        <f t="shared" si="40"/>
        <v>-1.288052987971815</v>
      </c>
      <c r="S65" s="7">
        <f t="shared" si="41"/>
        <v>-1.3351768777756619</v>
      </c>
      <c r="T65" s="7">
        <f t="shared" si="42"/>
        <v>-1.1152653920243765</v>
      </c>
      <c r="U65" s="7">
        <f t="shared" si="43"/>
        <v>-1.0681415022205296</v>
      </c>
      <c r="V65" s="7">
        <f t="shared" si="44"/>
        <v>-1.8849555921538759</v>
      </c>
      <c r="W65" s="7">
        <f t="shared" si="45"/>
        <v>-1.8849555921538759</v>
      </c>
      <c r="X65" s="7" t="e">
        <f t="shared" si="46"/>
        <v>#VALUE!</v>
      </c>
      <c r="Y65" s="7" t="e">
        <f t="shared" si="47"/>
        <v>#VALUE!</v>
      </c>
      <c r="Z65" s="7" t="e">
        <f t="shared" si="48"/>
        <v>#VALUE!</v>
      </c>
      <c r="AA65" s="7" t="e">
        <f t="shared" si="49"/>
        <v>#VALUE!</v>
      </c>
      <c r="AB65" s="7" t="e">
        <f t="shared" si="50"/>
        <v>#VALUE!</v>
      </c>
      <c r="AC65" s="7" t="e">
        <f t="shared" si="51"/>
        <v>#VALUE!</v>
      </c>
      <c r="AD65" s="7" t="e">
        <f t="shared" si="52"/>
        <v>#VALUE!</v>
      </c>
      <c r="AE65" s="7" t="e">
        <f t="shared" si="53"/>
        <v>#VALUE!</v>
      </c>
      <c r="AF65" s="7" t="e">
        <f t="shared" si="54"/>
        <v>#VALUE!</v>
      </c>
      <c r="AG65" s="7" t="e">
        <f t="shared" si="55"/>
        <v>#VALUE!</v>
      </c>
      <c r="AH65" s="7">
        <f>$C$12</f>
        <v>3.183098861837907</v>
      </c>
      <c r="AJ65">
        <f t="shared" si="34"/>
        <v>1240</v>
      </c>
      <c r="AK65" s="7">
        <f t="shared" si="56"/>
        <v>0</v>
      </c>
      <c r="AL65" s="7">
        <f t="shared" si="57"/>
        <v>0</v>
      </c>
      <c r="AM65" s="7">
        <f t="shared" si="58"/>
        <v>0</v>
      </c>
      <c r="AN65" s="7">
        <f t="shared" si="59"/>
        <v>0</v>
      </c>
      <c r="AO65" s="7">
        <f t="shared" si="60"/>
        <v>0</v>
      </c>
      <c r="AP65" s="7">
        <f t="shared" si="61"/>
        <v>0</v>
      </c>
      <c r="AQ65" s="7" t="e">
        <f t="shared" si="62"/>
        <v>#VALUE!</v>
      </c>
      <c r="AR65" s="7" t="e">
        <f t="shared" si="63"/>
        <v>#VALUE!</v>
      </c>
      <c r="AS65" s="7" t="e">
        <f t="shared" si="64"/>
        <v>#VALUE!</v>
      </c>
      <c r="AT65" s="7" t="e">
        <f t="shared" si="65"/>
        <v>#VALUE!</v>
      </c>
      <c r="AU65" s="7" t="e">
        <f t="shared" si="66"/>
        <v>#VALUE!</v>
      </c>
      <c r="AV65" s="7" t="e">
        <f t="shared" si="67"/>
        <v>#VALUE!</v>
      </c>
      <c r="AW65" s="7" t="e">
        <f t="shared" si="68"/>
        <v>#VALUE!</v>
      </c>
      <c r="AX65" s="7" t="e">
        <f t="shared" si="69"/>
        <v>#VALUE!</v>
      </c>
      <c r="AY65" s="7" t="e">
        <f t="shared" si="70"/>
        <v>#VALUE!</v>
      </c>
      <c r="AZ65" s="7" t="e">
        <f t="shared" si="71"/>
        <v>#VALUE!</v>
      </c>
      <c r="BA65" s="7"/>
    </row>
    <row r="66" spans="16:53" x14ac:dyDescent="0.25">
      <c r="P66">
        <f t="shared" si="35"/>
        <v>31.5</v>
      </c>
      <c r="Q66">
        <f t="shared" si="33"/>
        <v>1260</v>
      </c>
      <c r="R66" s="7">
        <f t="shared" si="40"/>
        <v>-1.288052987971815</v>
      </c>
      <c r="S66" s="7">
        <f t="shared" si="41"/>
        <v>-1.3351768777756619</v>
      </c>
      <c r="T66" s="7">
        <f t="shared" si="42"/>
        <v>-1.1152653920243765</v>
      </c>
      <c r="U66" s="7">
        <f t="shared" si="43"/>
        <v>-1.0681415022205296</v>
      </c>
      <c r="V66" s="7">
        <f t="shared" si="44"/>
        <v>-1.8849555921538759</v>
      </c>
      <c r="W66" s="7">
        <f t="shared" si="45"/>
        <v>-1.8849555921538759</v>
      </c>
      <c r="X66" s="7" t="e">
        <f t="shared" si="46"/>
        <v>#VALUE!</v>
      </c>
      <c r="Y66" s="7" t="e">
        <f t="shared" si="47"/>
        <v>#VALUE!</v>
      </c>
      <c r="Z66" s="7" t="e">
        <f t="shared" si="48"/>
        <v>#VALUE!</v>
      </c>
      <c r="AA66" s="7" t="e">
        <f t="shared" si="49"/>
        <v>#VALUE!</v>
      </c>
      <c r="AB66" s="7" t="e">
        <f t="shared" si="50"/>
        <v>#VALUE!</v>
      </c>
      <c r="AC66" s="7" t="e">
        <f t="shared" si="51"/>
        <v>#VALUE!</v>
      </c>
      <c r="AD66" s="7" t="e">
        <f t="shared" si="52"/>
        <v>#VALUE!</v>
      </c>
      <c r="AE66" s="7" t="e">
        <f t="shared" si="53"/>
        <v>#VALUE!</v>
      </c>
      <c r="AF66" s="7" t="e">
        <f t="shared" si="54"/>
        <v>#VALUE!</v>
      </c>
      <c r="AG66" s="7" t="e">
        <f t="shared" si="55"/>
        <v>#VALUE!</v>
      </c>
      <c r="AH66" s="7">
        <f>$C$12</f>
        <v>3.183098861837907</v>
      </c>
      <c r="AJ66">
        <f t="shared" si="34"/>
        <v>1260</v>
      </c>
      <c r="AK66" s="7">
        <f t="shared" si="56"/>
        <v>0</v>
      </c>
      <c r="AL66" s="7">
        <f t="shared" si="57"/>
        <v>0</v>
      </c>
      <c r="AM66" s="7">
        <f t="shared" si="58"/>
        <v>0</v>
      </c>
      <c r="AN66" s="7">
        <f t="shared" si="59"/>
        <v>0</v>
      </c>
      <c r="AO66" s="7">
        <f t="shared" si="60"/>
        <v>0</v>
      </c>
      <c r="AP66" s="7">
        <f t="shared" si="61"/>
        <v>0</v>
      </c>
      <c r="AQ66" s="7" t="e">
        <f t="shared" si="62"/>
        <v>#VALUE!</v>
      </c>
      <c r="AR66" s="7" t="e">
        <f t="shared" si="63"/>
        <v>#VALUE!</v>
      </c>
      <c r="AS66" s="7" t="e">
        <f t="shared" si="64"/>
        <v>#VALUE!</v>
      </c>
      <c r="AT66" s="7" t="e">
        <f t="shared" si="65"/>
        <v>#VALUE!</v>
      </c>
      <c r="AU66" s="7" t="e">
        <f t="shared" si="66"/>
        <v>#VALUE!</v>
      </c>
      <c r="AV66" s="7" t="e">
        <f t="shared" si="67"/>
        <v>#VALUE!</v>
      </c>
      <c r="AW66" s="7" t="e">
        <f t="shared" si="68"/>
        <v>#VALUE!</v>
      </c>
      <c r="AX66" s="7" t="e">
        <f t="shared" si="69"/>
        <v>#VALUE!</v>
      </c>
      <c r="AY66" s="7" t="e">
        <f t="shared" si="70"/>
        <v>#VALUE!</v>
      </c>
      <c r="AZ66" s="7" t="e">
        <f t="shared" si="71"/>
        <v>#VALUE!</v>
      </c>
      <c r="BA66" s="7"/>
    </row>
    <row r="67" spans="16:53" x14ac:dyDescent="0.25">
      <c r="P67">
        <f t="shared" si="35"/>
        <v>32</v>
      </c>
      <c r="Q67">
        <f t="shared" si="33"/>
        <v>1280</v>
      </c>
      <c r="R67" s="7">
        <f t="shared" ref="R67:R102" si="72">SingleCoilTorque($F$14,$G$14,$H$14,$I$14,$J$14,$K$14,$C$2,$M$14,$P67)-$N$14</f>
        <v>-1.288052987971815</v>
      </c>
      <c r="S67" s="7">
        <f t="shared" ref="S67:S102" si="73">SingleCoilTorque($F$15,$G$15,$H$15,$I$15,$J$15,$K$15,$C$2,$M$15,$P67)-$N$15</f>
        <v>-1.3351768777756619</v>
      </c>
      <c r="T67" s="7">
        <f t="shared" ref="T67:T102" si="74">SingleCoilTorque($F$16,$G$16,$H$16,$I$16,$J$16,$K$16,$C$2,$M$16,$P67)-$N$16</f>
        <v>-1.1152653920243765</v>
      </c>
      <c r="U67" s="7">
        <f t="shared" ref="U67:U102" si="75">SingleCoilTorque($F$17,$G$17,$H$17,$I$17,$J$17,$K$17,$C$2,$M$17,$P67)-$N$17</f>
        <v>-1.0681415022205296</v>
      </c>
      <c r="V67" s="7">
        <f t="shared" ref="V67:V102" si="76">SingleCoilTorque($F$18,$G$18,$H$18,$I$18,$J$18,$K$18,$C$2,$M$18,$P67)-$N$18</f>
        <v>-1.8849555921538759</v>
      </c>
      <c r="W67" s="7">
        <f t="shared" ref="W67:W102" si="77">SingleCoilTorque($F$19,$G$19,$H$19,$I$19,$J$19,$K$19,$C$2,$M$19,$P67)-$N$19</f>
        <v>-1.8849555921538759</v>
      </c>
      <c r="X67" s="7" t="e">
        <f t="shared" ref="X67:X102" si="78">SingleCoilTorque($F$20,$G$20,$H$20,$I$20,$J$20,$K$20,$C$2,$M$20,$P67)-$N$20</f>
        <v>#VALUE!</v>
      </c>
      <c r="Y67" s="7" t="e">
        <f t="shared" ref="Y67:Y102" si="79">SingleCoilTorque($F$21,$G$21,$H$21,$I$21,$J$21,$K$21,$C$2,$M$21,$P67)-$N$21</f>
        <v>#VALUE!</v>
      </c>
      <c r="Z67" s="7" t="e">
        <f t="shared" ref="Z67:Z102" si="80">SingleCoilTorque($F$22,$G$22,$H$22,$I$22,$J$22,$K$22,$C$2,$M$22,$P67)-$N$22</f>
        <v>#VALUE!</v>
      </c>
      <c r="AA67" s="7" t="e">
        <f t="shared" ref="AA67:AA102" si="81">SingleCoilTorque($F$23,$G$23,$H$23,$I$23,$J$23,$K$23,$C$2,$M$23,$P67)-$N$23</f>
        <v>#VALUE!</v>
      </c>
      <c r="AB67" s="7" t="e">
        <f t="shared" ref="AB67:AB102" si="82">SingleCoilTorque($F$24,$G$24,$H$24,$I$24,$J$24,$K$24,$C$2,$M$24,$P67)-$N$24</f>
        <v>#VALUE!</v>
      </c>
      <c r="AC67" s="7" t="e">
        <f t="shared" ref="AC67:AC102" si="83">SingleCoilTorque($F$25,$G$25,$H$25,$I$25,$J$25,$K$25,$C$2,$M$25,$P67)-$N$25</f>
        <v>#VALUE!</v>
      </c>
      <c r="AD67" s="7" t="e">
        <f t="shared" ref="AD67:AD102" si="84">SingleCoilTorque($F$26,$G$26,$H$26,$I$26,$J$26,$K$26,$C$2,$M$26,$P67)-$N$26</f>
        <v>#VALUE!</v>
      </c>
      <c r="AE67" s="7" t="e">
        <f t="shared" ref="AE67:AE102" si="85">SingleCoilTorque($F$27,$G$27,$H$27,$I$27,$J$27,$K$27,$C$2,$M$27,$P67)-$N$27</f>
        <v>#VALUE!</v>
      </c>
      <c r="AF67" s="7" t="e">
        <f t="shared" ref="AF67:AF102" si="86">SingleCoilTorque($F$28,$G$28,$H$28,$I$28,$J$28,$K$28,$C$2,$M$28,$P67)-$N$28</f>
        <v>#VALUE!</v>
      </c>
      <c r="AG67" s="7" t="e">
        <f t="shared" ref="AG67:AG102" si="87">SingleCoilTorque($F$29,$G$29,$H$29,$I$29,$J$29,$K$29,$C$2,$M$29,$P67)-$N$29</f>
        <v>#VALUE!</v>
      </c>
      <c r="AH67" s="7">
        <f>$C$12</f>
        <v>3.183098861837907</v>
      </c>
      <c r="AJ67">
        <f t="shared" si="34"/>
        <v>1280</v>
      </c>
      <c r="AK67" s="7">
        <f t="shared" ref="AK67:AK102" si="88">StepperPower($F$14,$G$14,$H$14,$I$14,$J$14,$K$14,$C$2,$M$14,$P67)</f>
        <v>0</v>
      </c>
      <c r="AL67" s="7">
        <f t="shared" ref="AL67:AL102" si="89">StepperPower($F$15,$G$15,$H$15,$I$15,$J$15,$K$15,$C$2,$M$15,$P67)</f>
        <v>0</v>
      </c>
      <c r="AM67" s="7">
        <f t="shared" ref="AM67:AM102" si="90">StepperPower($F$16,$G$16,$H$16,$I$16,$J$16,$K$16,$C$2,$M$16,$P67)</f>
        <v>0</v>
      </c>
      <c r="AN67" s="7">
        <f t="shared" ref="AN67:AN102" si="91">StepperPower($F$17,$G$17,$H$17,$I$17,$J$17,$K$17,$C$2,$M$17,$P67)</f>
        <v>0</v>
      </c>
      <c r="AO67" s="7">
        <f t="shared" ref="AO67:AO102" si="92">StepperPower($F$18,$G$18,$H$18,$I$18,$J$18,$K$18,$C$2,$M$18,$P67)</f>
        <v>0</v>
      </c>
      <c r="AP67" s="7">
        <f t="shared" ref="AP67:AP102" si="93">StepperPower($F$19,$G$19,$H$19,$I$19,$J$19,$K$19,$C$2,$M$19,$P67)</f>
        <v>0</v>
      </c>
      <c r="AQ67" s="7" t="e">
        <f t="shared" ref="AQ67:AQ102" si="94">StepperPower($F$20,$G$20,$H$20,$I$20,$J$20,$K$20,$C$2,$M$20,$P67)</f>
        <v>#VALUE!</v>
      </c>
      <c r="AR67" s="7" t="e">
        <f t="shared" ref="AR67:AR102" si="95">StepperPower($F$21,$G$21,$H$21,$I$21,$J$21,$K$21,$C$2,$M$21,$P67)</f>
        <v>#VALUE!</v>
      </c>
      <c r="AS67" s="7" t="e">
        <f t="shared" ref="AS67:AS102" si="96">StepperPower($F$22,$G$22,$H$22,$I$22,$J$22,$K$22,$C$2,$M$22,$P67)</f>
        <v>#VALUE!</v>
      </c>
      <c r="AT67" s="7" t="e">
        <f t="shared" ref="AT67:AT102" si="97">StepperPower($F$23,$G$23,$H$23,$I$23,$J$23,$K$23,$C$2,$M$23,$P67)</f>
        <v>#VALUE!</v>
      </c>
      <c r="AU67" s="7" t="e">
        <f t="shared" ref="AU67:AU102" si="98">StepperPower($F$24,$G$24,$H$24,$I$24,$J$24,$K$24,$C$2,$M$24,$P67)</f>
        <v>#VALUE!</v>
      </c>
      <c r="AV67" s="7" t="e">
        <f t="shared" ref="AV67:AV102" si="99">StepperPower($F$25,$G$25,$H$25,$I$25,$J$25,$K$25,$C$2,$M$25,$P67)</f>
        <v>#VALUE!</v>
      </c>
      <c r="AW67" s="7" t="e">
        <f t="shared" ref="AW67:AW102" si="100">StepperPower($F$26,$G$26,$H$26,$I$26,$J$26,$K$26,$C$2,$M$26,$P67)</f>
        <v>#VALUE!</v>
      </c>
      <c r="AX67" s="7" t="e">
        <f t="shared" ref="AX67:AX102" si="101">StepperPower($F$27,$G$27,$H$27,$I$27,$J$27,$K$27,$C$2,$M$27,$P67)</f>
        <v>#VALUE!</v>
      </c>
      <c r="AY67" s="7" t="e">
        <f t="shared" ref="AY67:AY102" si="102">StepperPower($F$28,$G$28,$H$28,$I$28,$J$28,$K$28,$C$2,$M$28,$P67)</f>
        <v>#VALUE!</v>
      </c>
      <c r="AZ67" s="7" t="e">
        <f t="shared" ref="AZ67:AZ102" si="103">StepperPower($F$29,$G$29,$H$29,$I$29,$J$29,$K$29,$C$2,$M$29,$P67)</f>
        <v>#VALUE!</v>
      </c>
      <c r="BA67" s="7"/>
    </row>
    <row r="68" spans="16:53" x14ac:dyDescent="0.25">
      <c r="P68">
        <f t="shared" si="35"/>
        <v>32.5</v>
      </c>
      <c r="Q68">
        <f t="shared" ref="Q68:Q102" si="104">P68*$C$6*$C$7/$C$9</f>
        <v>1300</v>
      </c>
      <c r="R68" s="7">
        <f t="shared" si="72"/>
        <v>-1.288052987971815</v>
      </c>
      <c r="S68" s="7">
        <f t="shared" si="73"/>
        <v>-1.3351768777756619</v>
      </c>
      <c r="T68" s="7">
        <f t="shared" si="74"/>
        <v>-1.1152653920243765</v>
      </c>
      <c r="U68" s="7">
        <f t="shared" si="75"/>
        <v>-1.0681415022205296</v>
      </c>
      <c r="V68" s="7">
        <f t="shared" si="76"/>
        <v>-1.8849555921538759</v>
      </c>
      <c r="W68" s="7">
        <f t="shared" si="77"/>
        <v>-1.8849555921538759</v>
      </c>
      <c r="X68" s="7" t="e">
        <f t="shared" si="78"/>
        <v>#VALUE!</v>
      </c>
      <c r="Y68" s="7" t="e">
        <f t="shared" si="79"/>
        <v>#VALUE!</v>
      </c>
      <c r="Z68" s="7" t="e">
        <f t="shared" si="80"/>
        <v>#VALUE!</v>
      </c>
      <c r="AA68" s="7" t="e">
        <f t="shared" si="81"/>
        <v>#VALUE!</v>
      </c>
      <c r="AB68" s="7" t="e">
        <f t="shared" si="82"/>
        <v>#VALUE!</v>
      </c>
      <c r="AC68" s="7" t="e">
        <f t="shared" si="83"/>
        <v>#VALUE!</v>
      </c>
      <c r="AD68" s="7" t="e">
        <f t="shared" si="84"/>
        <v>#VALUE!</v>
      </c>
      <c r="AE68" s="7" t="e">
        <f t="shared" si="85"/>
        <v>#VALUE!</v>
      </c>
      <c r="AF68" s="7" t="e">
        <f t="shared" si="86"/>
        <v>#VALUE!</v>
      </c>
      <c r="AG68" s="7" t="e">
        <f t="shared" si="87"/>
        <v>#VALUE!</v>
      </c>
      <c r="AH68" s="7">
        <f>$C$12</f>
        <v>3.183098861837907</v>
      </c>
      <c r="AJ68">
        <f t="shared" ref="AJ68:AJ102" si="105">Q68</f>
        <v>1300</v>
      </c>
      <c r="AK68" s="7">
        <f t="shared" si="88"/>
        <v>0</v>
      </c>
      <c r="AL68" s="7">
        <f t="shared" si="89"/>
        <v>0</v>
      </c>
      <c r="AM68" s="7">
        <f t="shared" si="90"/>
        <v>0</v>
      </c>
      <c r="AN68" s="7">
        <f t="shared" si="91"/>
        <v>0</v>
      </c>
      <c r="AO68" s="7">
        <f t="shared" si="92"/>
        <v>0</v>
      </c>
      <c r="AP68" s="7">
        <f t="shared" si="93"/>
        <v>0</v>
      </c>
      <c r="AQ68" s="7" t="e">
        <f t="shared" si="94"/>
        <v>#VALUE!</v>
      </c>
      <c r="AR68" s="7" t="e">
        <f t="shared" si="95"/>
        <v>#VALUE!</v>
      </c>
      <c r="AS68" s="7" t="e">
        <f t="shared" si="96"/>
        <v>#VALUE!</v>
      </c>
      <c r="AT68" s="7" t="e">
        <f t="shared" si="97"/>
        <v>#VALUE!</v>
      </c>
      <c r="AU68" s="7" t="e">
        <f t="shared" si="98"/>
        <v>#VALUE!</v>
      </c>
      <c r="AV68" s="7" t="e">
        <f t="shared" si="99"/>
        <v>#VALUE!</v>
      </c>
      <c r="AW68" s="7" t="e">
        <f t="shared" si="100"/>
        <v>#VALUE!</v>
      </c>
      <c r="AX68" s="7" t="e">
        <f t="shared" si="101"/>
        <v>#VALUE!</v>
      </c>
      <c r="AY68" s="7" t="e">
        <f t="shared" si="102"/>
        <v>#VALUE!</v>
      </c>
      <c r="AZ68" s="7" t="e">
        <f t="shared" si="103"/>
        <v>#VALUE!</v>
      </c>
      <c r="BA68" s="7"/>
    </row>
    <row r="69" spans="16:53" x14ac:dyDescent="0.25">
      <c r="P69">
        <f t="shared" ref="P69:P102" si="106">P68+0.5</f>
        <v>33</v>
      </c>
      <c r="Q69">
        <f t="shared" si="104"/>
        <v>1320</v>
      </c>
      <c r="R69" s="7">
        <f t="shared" si="72"/>
        <v>-1.288052987971815</v>
      </c>
      <c r="S69" s="7">
        <f t="shared" si="73"/>
        <v>-1.3351768777756619</v>
      </c>
      <c r="T69" s="7">
        <f t="shared" si="74"/>
        <v>-1.1152653920243765</v>
      </c>
      <c r="U69" s="7">
        <f t="shared" si="75"/>
        <v>-1.0681415022205296</v>
      </c>
      <c r="V69" s="7">
        <f t="shared" si="76"/>
        <v>-1.8849555921538759</v>
      </c>
      <c r="W69" s="7">
        <f t="shared" si="77"/>
        <v>-1.8849555921538759</v>
      </c>
      <c r="X69" s="7" t="e">
        <f t="shared" si="78"/>
        <v>#VALUE!</v>
      </c>
      <c r="Y69" s="7" t="e">
        <f t="shared" si="79"/>
        <v>#VALUE!</v>
      </c>
      <c r="Z69" s="7" t="e">
        <f t="shared" si="80"/>
        <v>#VALUE!</v>
      </c>
      <c r="AA69" s="7" t="e">
        <f t="shared" si="81"/>
        <v>#VALUE!</v>
      </c>
      <c r="AB69" s="7" t="e">
        <f t="shared" si="82"/>
        <v>#VALUE!</v>
      </c>
      <c r="AC69" s="7" t="e">
        <f t="shared" si="83"/>
        <v>#VALUE!</v>
      </c>
      <c r="AD69" s="7" t="e">
        <f t="shared" si="84"/>
        <v>#VALUE!</v>
      </c>
      <c r="AE69" s="7" t="e">
        <f t="shared" si="85"/>
        <v>#VALUE!</v>
      </c>
      <c r="AF69" s="7" t="e">
        <f t="shared" si="86"/>
        <v>#VALUE!</v>
      </c>
      <c r="AG69" s="7" t="e">
        <f t="shared" si="87"/>
        <v>#VALUE!</v>
      </c>
      <c r="AH69" s="7">
        <f>$C$12</f>
        <v>3.183098861837907</v>
      </c>
      <c r="AJ69">
        <f t="shared" si="105"/>
        <v>1320</v>
      </c>
      <c r="AK69" s="7">
        <f t="shared" si="88"/>
        <v>0</v>
      </c>
      <c r="AL69" s="7">
        <f t="shared" si="89"/>
        <v>0</v>
      </c>
      <c r="AM69" s="7">
        <f t="shared" si="90"/>
        <v>0</v>
      </c>
      <c r="AN69" s="7">
        <f t="shared" si="91"/>
        <v>0</v>
      </c>
      <c r="AO69" s="7">
        <f t="shared" si="92"/>
        <v>0</v>
      </c>
      <c r="AP69" s="7">
        <f t="shared" si="93"/>
        <v>0</v>
      </c>
      <c r="AQ69" s="7" t="e">
        <f t="shared" si="94"/>
        <v>#VALUE!</v>
      </c>
      <c r="AR69" s="7" t="e">
        <f t="shared" si="95"/>
        <v>#VALUE!</v>
      </c>
      <c r="AS69" s="7" t="e">
        <f t="shared" si="96"/>
        <v>#VALUE!</v>
      </c>
      <c r="AT69" s="7" t="e">
        <f t="shared" si="97"/>
        <v>#VALUE!</v>
      </c>
      <c r="AU69" s="7" t="e">
        <f t="shared" si="98"/>
        <v>#VALUE!</v>
      </c>
      <c r="AV69" s="7" t="e">
        <f t="shared" si="99"/>
        <v>#VALUE!</v>
      </c>
      <c r="AW69" s="7" t="e">
        <f t="shared" si="100"/>
        <v>#VALUE!</v>
      </c>
      <c r="AX69" s="7" t="e">
        <f t="shared" si="101"/>
        <v>#VALUE!</v>
      </c>
      <c r="AY69" s="7" t="e">
        <f t="shared" si="102"/>
        <v>#VALUE!</v>
      </c>
      <c r="AZ69" s="7" t="e">
        <f t="shared" si="103"/>
        <v>#VALUE!</v>
      </c>
      <c r="BA69" s="7"/>
    </row>
    <row r="70" spans="16:53" x14ac:dyDescent="0.25">
      <c r="P70">
        <f t="shared" si="106"/>
        <v>33.5</v>
      </c>
      <c r="Q70">
        <f t="shared" si="104"/>
        <v>1340</v>
      </c>
      <c r="R70" s="7">
        <f t="shared" si="72"/>
        <v>-1.288052987971815</v>
      </c>
      <c r="S70" s="7">
        <f t="shared" si="73"/>
        <v>-1.3351768777756619</v>
      </c>
      <c r="T70" s="7">
        <f t="shared" si="74"/>
        <v>-1.1152653920243765</v>
      </c>
      <c r="U70" s="7">
        <f t="shared" si="75"/>
        <v>-1.0681415022205296</v>
      </c>
      <c r="V70" s="7">
        <f t="shared" si="76"/>
        <v>-1.8849555921538759</v>
      </c>
      <c r="W70" s="7">
        <f t="shared" si="77"/>
        <v>-1.8849555921538759</v>
      </c>
      <c r="X70" s="7" t="e">
        <f t="shared" si="78"/>
        <v>#VALUE!</v>
      </c>
      <c r="Y70" s="7" t="e">
        <f t="shared" si="79"/>
        <v>#VALUE!</v>
      </c>
      <c r="Z70" s="7" t="e">
        <f t="shared" si="80"/>
        <v>#VALUE!</v>
      </c>
      <c r="AA70" s="7" t="e">
        <f t="shared" si="81"/>
        <v>#VALUE!</v>
      </c>
      <c r="AB70" s="7" t="e">
        <f t="shared" si="82"/>
        <v>#VALUE!</v>
      </c>
      <c r="AC70" s="7" t="e">
        <f t="shared" si="83"/>
        <v>#VALUE!</v>
      </c>
      <c r="AD70" s="7" t="e">
        <f t="shared" si="84"/>
        <v>#VALUE!</v>
      </c>
      <c r="AE70" s="7" t="e">
        <f t="shared" si="85"/>
        <v>#VALUE!</v>
      </c>
      <c r="AF70" s="7" t="e">
        <f t="shared" si="86"/>
        <v>#VALUE!</v>
      </c>
      <c r="AG70" s="7" t="e">
        <f t="shared" si="87"/>
        <v>#VALUE!</v>
      </c>
      <c r="AH70" s="7">
        <f>$C$12</f>
        <v>3.183098861837907</v>
      </c>
      <c r="AJ70">
        <f t="shared" si="105"/>
        <v>1340</v>
      </c>
      <c r="AK70" s="7">
        <f t="shared" si="88"/>
        <v>0</v>
      </c>
      <c r="AL70" s="7">
        <f t="shared" si="89"/>
        <v>0</v>
      </c>
      <c r="AM70" s="7">
        <f t="shared" si="90"/>
        <v>0</v>
      </c>
      <c r="AN70" s="7">
        <f t="shared" si="91"/>
        <v>0</v>
      </c>
      <c r="AO70" s="7">
        <f t="shared" si="92"/>
        <v>0</v>
      </c>
      <c r="AP70" s="7">
        <f t="shared" si="93"/>
        <v>0</v>
      </c>
      <c r="AQ70" s="7" t="e">
        <f t="shared" si="94"/>
        <v>#VALUE!</v>
      </c>
      <c r="AR70" s="7" t="e">
        <f t="shared" si="95"/>
        <v>#VALUE!</v>
      </c>
      <c r="AS70" s="7" t="e">
        <f t="shared" si="96"/>
        <v>#VALUE!</v>
      </c>
      <c r="AT70" s="7" t="e">
        <f t="shared" si="97"/>
        <v>#VALUE!</v>
      </c>
      <c r="AU70" s="7" t="e">
        <f t="shared" si="98"/>
        <v>#VALUE!</v>
      </c>
      <c r="AV70" s="7" t="e">
        <f t="shared" si="99"/>
        <v>#VALUE!</v>
      </c>
      <c r="AW70" s="7" t="e">
        <f t="shared" si="100"/>
        <v>#VALUE!</v>
      </c>
      <c r="AX70" s="7" t="e">
        <f t="shared" si="101"/>
        <v>#VALUE!</v>
      </c>
      <c r="AY70" s="7" t="e">
        <f t="shared" si="102"/>
        <v>#VALUE!</v>
      </c>
      <c r="AZ70" s="7" t="e">
        <f t="shared" si="103"/>
        <v>#VALUE!</v>
      </c>
      <c r="BA70" s="7"/>
    </row>
    <row r="71" spans="16:53" x14ac:dyDescent="0.25">
      <c r="P71">
        <f t="shared" si="106"/>
        <v>34</v>
      </c>
      <c r="Q71">
        <f t="shared" si="104"/>
        <v>1360</v>
      </c>
      <c r="R71" s="7">
        <f t="shared" si="72"/>
        <v>-1.288052987971815</v>
      </c>
      <c r="S71" s="7">
        <f t="shared" si="73"/>
        <v>-1.3351768777756619</v>
      </c>
      <c r="T71" s="7">
        <f t="shared" si="74"/>
        <v>-1.1152653920243765</v>
      </c>
      <c r="U71" s="7">
        <f t="shared" si="75"/>
        <v>-1.0681415022205296</v>
      </c>
      <c r="V71" s="7">
        <f t="shared" si="76"/>
        <v>-1.8849555921538759</v>
      </c>
      <c r="W71" s="7">
        <f t="shared" si="77"/>
        <v>-1.8849555921538759</v>
      </c>
      <c r="X71" s="7" t="e">
        <f t="shared" si="78"/>
        <v>#VALUE!</v>
      </c>
      <c r="Y71" s="7" t="e">
        <f t="shared" si="79"/>
        <v>#VALUE!</v>
      </c>
      <c r="Z71" s="7" t="e">
        <f t="shared" si="80"/>
        <v>#VALUE!</v>
      </c>
      <c r="AA71" s="7" t="e">
        <f t="shared" si="81"/>
        <v>#VALUE!</v>
      </c>
      <c r="AB71" s="7" t="e">
        <f t="shared" si="82"/>
        <v>#VALUE!</v>
      </c>
      <c r="AC71" s="7" t="e">
        <f t="shared" si="83"/>
        <v>#VALUE!</v>
      </c>
      <c r="AD71" s="7" t="e">
        <f t="shared" si="84"/>
        <v>#VALUE!</v>
      </c>
      <c r="AE71" s="7" t="e">
        <f t="shared" si="85"/>
        <v>#VALUE!</v>
      </c>
      <c r="AF71" s="7" t="e">
        <f t="shared" si="86"/>
        <v>#VALUE!</v>
      </c>
      <c r="AG71" s="7" t="e">
        <f t="shared" si="87"/>
        <v>#VALUE!</v>
      </c>
      <c r="AH71" s="7">
        <f>$C$12</f>
        <v>3.183098861837907</v>
      </c>
      <c r="AJ71">
        <f t="shared" si="105"/>
        <v>1360</v>
      </c>
      <c r="AK71" s="7">
        <f t="shared" si="88"/>
        <v>0</v>
      </c>
      <c r="AL71" s="7">
        <f t="shared" si="89"/>
        <v>0</v>
      </c>
      <c r="AM71" s="7">
        <f t="shared" si="90"/>
        <v>0</v>
      </c>
      <c r="AN71" s="7">
        <f t="shared" si="91"/>
        <v>0</v>
      </c>
      <c r="AO71" s="7">
        <f t="shared" si="92"/>
        <v>0</v>
      </c>
      <c r="AP71" s="7">
        <f t="shared" si="93"/>
        <v>0</v>
      </c>
      <c r="AQ71" s="7" t="e">
        <f t="shared" si="94"/>
        <v>#VALUE!</v>
      </c>
      <c r="AR71" s="7" t="e">
        <f t="shared" si="95"/>
        <v>#VALUE!</v>
      </c>
      <c r="AS71" s="7" t="e">
        <f t="shared" si="96"/>
        <v>#VALUE!</v>
      </c>
      <c r="AT71" s="7" t="e">
        <f t="shared" si="97"/>
        <v>#VALUE!</v>
      </c>
      <c r="AU71" s="7" t="e">
        <f t="shared" si="98"/>
        <v>#VALUE!</v>
      </c>
      <c r="AV71" s="7" t="e">
        <f t="shared" si="99"/>
        <v>#VALUE!</v>
      </c>
      <c r="AW71" s="7" t="e">
        <f t="shared" si="100"/>
        <v>#VALUE!</v>
      </c>
      <c r="AX71" s="7" t="e">
        <f t="shared" si="101"/>
        <v>#VALUE!</v>
      </c>
      <c r="AY71" s="7" t="e">
        <f t="shared" si="102"/>
        <v>#VALUE!</v>
      </c>
      <c r="AZ71" s="7" t="e">
        <f t="shared" si="103"/>
        <v>#VALUE!</v>
      </c>
      <c r="BA71" s="7"/>
    </row>
    <row r="72" spans="16:53" x14ac:dyDescent="0.25">
      <c r="P72">
        <f t="shared" si="106"/>
        <v>34.5</v>
      </c>
      <c r="Q72">
        <f t="shared" si="104"/>
        <v>1380</v>
      </c>
      <c r="R72" s="7">
        <f t="shared" si="72"/>
        <v>-1.288052987971815</v>
      </c>
      <c r="S72" s="7">
        <f t="shared" si="73"/>
        <v>-1.3351768777756619</v>
      </c>
      <c r="T72" s="7">
        <f t="shared" si="74"/>
        <v>-1.1152653920243765</v>
      </c>
      <c r="U72" s="7">
        <f t="shared" si="75"/>
        <v>-1.0681415022205296</v>
      </c>
      <c r="V72" s="7">
        <f t="shared" si="76"/>
        <v>-1.8849555921538759</v>
      </c>
      <c r="W72" s="7">
        <f t="shared" si="77"/>
        <v>-1.8849555921538759</v>
      </c>
      <c r="X72" s="7" t="e">
        <f t="shared" si="78"/>
        <v>#VALUE!</v>
      </c>
      <c r="Y72" s="7" t="e">
        <f t="shared" si="79"/>
        <v>#VALUE!</v>
      </c>
      <c r="Z72" s="7" t="e">
        <f t="shared" si="80"/>
        <v>#VALUE!</v>
      </c>
      <c r="AA72" s="7" t="e">
        <f t="shared" si="81"/>
        <v>#VALUE!</v>
      </c>
      <c r="AB72" s="7" t="e">
        <f t="shared" si="82"/>
        <v>#VALUE!</v>
      </c>
      <c r="AC72" s="7" t="e">
        <f t="shared" si="83"/>
        <v>#VALUE!</v>
      </c>
      <c r="AD72" s="7" t="e">
        <f t="shared" si="84"/>
        <v>#VALUE!</v>
      </c>
      <c r="AE72" s="7" t="e">
        <f t="shared" si="85"/>
        <v>#VALUE!</v>
      </c>
      <c r="AF72" s="7" t="e">
        <f t="shared" si="86"/>
        <v>#VALUE!</v>
      </c>
      <c r="AG72" s="7" t="e">
        <f t="shared" si="87"/>
        <v>#VALUE!</v>
      </c>
      <c r="AH72" s="7">
        <f>$C$12</f>
        <v>3.183098861837907</v>
      </c>
      <c r="AJ72">
        <f t="shared" si="105"/>
        <v>1380</v>
      </c>
      <c r="AK72" s="7">
        <f t="shared" si="88"/>
        <v>0</v>
      </c>
      <c r="AL72" s="7">
        <f t="shared" si="89"/>
        <v>0</v>
      </c>
      <c r="AM72" s="7">
        <f t="shared" si="90"/>
        <v>0</v>
      </c>
      <c r="AN72" s="7">
        <f t="shared" si="91"/>
        <v>0</v>
      </c>
      <c r="AO72" s="7">
        <f t="shared" si="92"/>
        <v>0</v>
      </c>
      <c r="AP72" s="7">
        <f t="shared" si="93"/>
        <v>0</v>
      </c>
      <c r="AQ72" s="7" t="e">
        <f t="shared" si="94"/>
        <v>#VALUE!</v>
      </c>
      <c r="AR72" s="7" t="e">
        <f t="shared" si="95"/>
        <v>#VALUE!</v>
      </c>
      <c r="AS72" s="7" t="e">
        <f t="shared" si="96"/>
        <v>#VALUE!</v>
      </c>
      <c r="AT72" s="7" t="e">
        <f t="shared" si="97"/>
        <v>#VALUE!</v>
      </c>
      <c r="AU72" s="7" t="e">
        <f t="shared" si="98"/>
        <v>#VALUE!</v>
      </c>
      <c r="AV72" s="7" t="e">
        <f t="shared" si="99"/>
        <v>#VALUE!</v>
      </c>
      <c r="AW72" s="7" t="e">
        <f t="shared" si="100"/>
        <v>#VALUE!</v>
      </c>
      <c r="AX72" s="7" t="e">
        <f t="shared" si="101"/>
        <v>#VALUE!</v>
      </c>
      <c r="AY72" s="7" t="e">
        <f t="shared" si="102"/>
        <v>#VALUE!</v>
      </c>
      <c r="AZ72" s="7" t="e">
        <f t="shared" si="103"/>
        <v>#VALUE!</v>
      </c>
      <c r="BA72" s="7"/>
    </row>
    <row r="73" spans="16:53" x14ac:dyDescent="0.25">
      <c r="P73">
        <f t="shared" si="106"/>
        <v>35</v>
      </c>
      <c r="Q73">
        <f t="shared" si="104"/>
        <v>1400</v>
      </c>
      <c r="R73" s="7">
        <f t="shared" si="72"/>
        <v>-1.288052987971815</v>
      </c>
      <c r="S73" s="7">
        <f t="shared" si="73"/>
        <v>-1.3351768777756619</v>
      </c>
      <c r="T73" s="7">
        <f t="shared" si="74"/>
        <v>-1.1152653920243765</v>
      </c>
      <c r="U73" s="7">
        <f t="shared" si="75"/>
        <v>-1.0681415022205296</v>
      </c>
      <c r="V73" s="7">
        <f t="shared" si="76"/>
        <v>-1.8849555921538759</v>
      </c>
      <c r="W73" s="7">
        <f t="shared" si="77"/>
        <v>-1.8849555921538759</v>
      </c>
      <c r="X73" s="7" t="e">
        <f t="shared" si="78"/>
        <v>#VALUE!</v>
      </c>
      <c r="Y73" s="7" t="e">
        <f t="shared" si="79"/>
        <v>#VALUE!</v>
      </c>
      <c r="Z73" s="7" t="e">
        <f t="shared" si="80"/>
        <v>#VALUE!</v>
      </c>
      <c r="AA73" s="7" t="e">
        <f t="shared" si="81"/>
        <v>#VALUE!</v>
      </c>
      <c r="AB73" s="7" t="e">
        <f t="shared" si="82"/>
        <v>#VALUE!</v>
      </c>
      <c r="AC73" s="7" t="e">
        <f t="shared" si="83"/>
        <v>#VALUE!</v>
      </c>
      <c r="AD73" s="7" t="e">
        <f t="shared" si="84"/>
        <v>#VALUE!</v>
      </c>
      <c r="AE73" s="7" t="e">
        <f t="shared" si="85"/>
        <v>#VALUE!</v>
      </c>
      <c r="AF73" s="7" t="e">
        <f t="shared" si="86"/>
        <v>#VALUE!</v>
      </c>
      <c r="AG73" s="7" t="e">
        <f t="shared" si="87"/>
        <v>#VALUE!</v>
      </c>
      <c r="AH73" s="7">
        <f>$C$12</f>
        <v>3.183098861837907</v>
      </c>
      <c r="AJ73">
        <f t="shared" si="105"/>
        <v>1400</v>
      </c>
      <c r="AK73" s="7">
        <f t="shared" si="88"/>
        <v>0</v>
      </c>
      <c r="AL73" s="7">
        <f t="shared" si="89"/>
        <v>0</v>
      </c>
      <c r="AM73" s="7">
        <f t="shared" si="90"/>
        <v>0</v>
      </c>
      <c r="AN73" s="7">
        <f t="shared" si="91"/>
        <v>0</v>
      </c>
      <c r="AO73" s="7">
        <f t="shared" si="92"/>
        <v>0</v>
      </c>
      <c r="AP73" s="7">
        <f t="shared" si="93"/>
        <v>0</v>
      </c>
      <c r="AQ73" s="7" t="e">
        <f t="shared" si="94"/>
        <v>#VALUE!</v>
      </c>
      <c r="AR73" s="7" t="e">
        <f t="shared" si="95"/>
        <v>#VALUE!</v>
      </c>
      <c r="AS73" s="7" t="e">
        <f t="shared" si="96"/>
        <v>#VALUE!</v>
      </c>
      <c r="AT73" s="7" t="e">
        <f t="shared" si="97"/>
        <v>#VALUE!</v>
      </c>
      <c r="AU73" s="7" t="e">
        <f t="shared" si="98"/>
        <v>#VALUE!</v>
      </c>
      <c r="AV73" s="7" t="e">
        <f t="shared" si="99"/>
        <v>#VALUE!</v>
      </c>
      <c r="AW73" s="7" t="e">
        <f t="shared" si="100"/>
        <v>#VALUE!</v>
      </c>
      <c r="AX73" s="7" t="e">
        <f t="shared" si="101"/>
        <v>#VALUE!</v>
      </c>
      <c r="AY73" s="7" t="e">
        <f t="shared" si="102"/>
        <v>#VALUE!</v>
      </c>
      <c r="AZ73" s="7" t="e">
        <f t="shared" si="103"/>
        <v>#VALUE!</v>
      </c>
      <c r="BA73" s="7"/>
    </row>
    <row r="74" spans="16:53" x14ac:dyDescent="0.25">
      <c r="P74">
        <f t="shared" si="106"/>
        <v>35.5</v>
      </c>
      <c r="Q74">
        <f t="shared" si="104"/>
        <v>1420</v>
      </c>
      <c r="R74" s="7">
        <f t="shared" si="72"/>
        <v>-1.288052987971815</v>
      </c>
      <c r="S74" s="7">
        <f t="shared" si="73"/>
        <v>-1.3351768777756619</v>
      </c>
      <c r="T74" s="7">
        <f t="shared" si="74"/>
        <v>-1.1152653920243765</v>
      </c>
      <c r="U74" s="7">
        <f t="shared" si="75"/>
        <v>-1.0681415022205296</v>
      </c>
      <c r="V74" s="7">
        <f t="shared" si="76"/>
        <v>-1.8849555921538759</v>
      </c>
      <c r="W74" s="7">
        <f t="shared" si="77"/>
        <v>-1.8849555921538759</v>
      </c>
      <c r="X74" s="7" t="e">
        <f t="shared" si="78"/>
        <v>#VALUE!</v>
      </c>
      <c r="Y74" s="7" t="e">
        <f t="shared" si="79"/>
        <v>#VALUE!</v>
      </c>
      <c r="Z74" s="7" t="e">
        <f t="shared" si="80"/>
        <v>#VALUE!</v>
      </c>
      <c r="AA74" s="7" t="e">
        <f t="shared" si="81"/>
        <v>#VALUE!</v>
      </c>
      <c r="AB74" s="7" t="e">
        <f t="shared" si="82"/>
        <v>#VALUE!</v>
      </c>
      <c r="AC74" s="7" t="e">
        <f t="shared" si="83"/>
        <v>#VALUE!</v>
      </c>
      <c r="AD74" s="7" t="e">
        <f t="shared" si="84"/>
        <v>#VALUE!</v>
      </c>
      <c r="AE74" s="7" t="e">
        <f t="shared" si="85"/>
        <v>#VALUE!</v>
      </c>
      <c r="AF74" s="7" t="e">
        <f t="shared" si="86"/>
        <v>#VALUE!</v>
      </c>
      <c r="AG74" s="7" t="e">
        <f t="shared" si="87"/>
        <v>#VALUE!</v>
      </c>
      <c r="AH74" s="7">
        <f>$C$12</f>
        <v>3.183098861837907</v>
      </c>
      <c r="AJ74">
        <f t="shared" si="105"/>
        <v>1420</v>
      </c>
      <c r="AK74" s="7">
        <f t="shared" si="88"/>
        <v>0</v>
      </c>
      <c r="AL74" s="7">
        <f t="shared" si="89"/>
        <v>0</v>
      </c>
      <c r="AM74" s="7">
        <f t="shared" si="90"/>
        <v>0</v>
      </c>
      <c r="AN74" s="7">
        <f t="shared" si="91"/>
        <v>0</v>
      </c>
      <c r="AO74" s="7">
        <f t="shared" si="92"/>
        <v>0</v>
      </c>
      <c r="AP74" s="7">
        <f t="shared" si="93"/>
        <v>0</v>
      </c>
      <c r="AQ74" s="7" t="e">
        <f t="shared" si="94"/>
        <v>#VALUE!</v>
      </c>
      <c r="AR74" s="7" t="e">
        <f t="shared" si="95"/>
        <v>#VALUE!</v>
      </c>
      <c r="AS74" s="7" t="e">
        <f t="shared" si="96"/>
        <v>#VALUE!</v>
      </c>
      <c r="AT74" s="7" t="e">
        <f t="shared" si="97"/>
        <v>#VALUE!</v>
      </c>
      <c r="AU74" s="7" t="e">
        <f t="shared" si="98"/>
        <v>#VALUE!</v>
      </c>
      <c r="AV74" s="7" t="e">
        <f t="shared" si="99"/>
        <v>#VALUE!</v>
      </c>
      <c r="AW74" s="7" t="e">
        <f t="shared" si="100"/>
        <v>#VALUE!</v>
      </c>
      <c r="AX74" s="7" t="e">
        <f t="shared" si="101"/>
        <v>#VALUE!</v>
      </c>
      <c r="AY74" s="7" t="e">
        <f t="shared" si="102"/>
        <v>#VALUE!</v>
      </c>
      <c r="AZ74" s="7" t="e">
        <f t="shared" si="103"/>
        <v>#VALUE!</v>
      </c>
      <c r="BA74" s="7"/>
    </row>
    <row r="75" spans="16:53" x14ac:dyDescent="0.25">
      <c r="P75">
        <f t="shared" si="106"/>
        <v>36</v>
      </c>
      <c r="Q75">
        <f t="shared" si="104"/>
        <v>1440</v>
      </c>
      <c r="R75" s="7">
        <f t="shared" si="72"/>
        <v>-1.288052987971815</v>
      </c>
      <c r="S75" s="7">
        <f t="shared" si="73"/>
        <v>-1.3351768777756619</v>
      </c>
      <c r="T75" s="7">
        <f t="shared" si="74"/>
        <v>-1.1152653920243765</v>
      </c>
      <c r="U75" s="7">
        <f t="shared" si="75"/>
        <v>-1.0681415022205296</v>
      </c>
      <c r="V75" s="7">
        <f t="shared" si="76"/>
        <v>-1.8849555921538759</v>
      </c>
      <c r="W75" s="7">
        <f t="shared" si="77"/>
        <v>-1.8849555921538759</v>
      </c>
      <c r="X75" s="7" t="e">
        <f t="shared" si="78"/>
        <v>#VALUE!</v>
      </c>
      <c r="Y75" s="7" t="e">
        <f t="shared" si="79"/>
        <v>#VALUE!</v>
      </c>
      <c r="Z75" s="7" t="e">
        <f t="shared" si="80"/>
        <v>#VALUE!</v>
      </c>
      <c r="AA75" s="7" t="e">
        <f t="shared" si="81"/>
        <v>#VALUE!</v>
      </c>
      <c r="AB75" s="7" t="e">
        <f t="shared" si="82"/>
        <v>#VALUE!</v>
      </c>
      <c r="AC75" s="7" t="e">
        <f t="shared" si="83"/>
        <v>#VALUE!</v>
      </c>
      <c r="AD75" s="7" t="e">
        <f t="shared" si="84"/>
        <v>#VALUE!</v>
      </c>
      <c r="AE75" s="7" t="e">
        <f t="shared" si="85"/>
        <v>#VALUE!</v>
      </c>
      <c r="AF75" s="7" t="e">
        <f t="shared" si="86"/>
        <v>#VALUE!</v>
      </c>
      <c r="AG75" s="7" t="e">
        <f t="shared" si="87"/>
        <v>#VALUE!</v>
      </c>
      <c r="AH75" s="7">
        <f>$C$12</f>
        <v>3.183098861837907</v>
      </c>
      <c r="AJ75">
        <f t="shared" si="105"/>
        <v>1440</v>
      </c>
      <c r="AK75" s="7">
        <f t="shared" si="88"/>
        <v>0</v>
      </c>
      <c r="AL75" s="7">
        <f t="shared" si="89"/>
        <v>0</v>
      </c>
      <c r="AM75" s="7">
        <f t="shared" si="90"/>
        <v>0</v>
      </c>
      <c r="AN75" s="7">
        <f t="shared" si="91"/>
        <v>0</v>
      </c>
      <c r="AO75" s="7">
        <f t="shared" si="92"/>
        <v>0</v>
      </c>
      <c r="AP75" s="7">
        <f t="shared" si="93"/>
        <v>0</v>
      </c>
      <c r="AQ75" s="7" t="e">
        <f t="shared" si="94"/>
        <v>#VALUE!</v>
      </c>
      <c r="AR75" s="7" t="e">
        <f t="shared" si="95"/>
        <v>#VALUE!</v>
      </c>
      <c r="AS75" s="7" t="e">
        <f t="shared" si="96"/>
        <v>#VALUE!</v>
      </c>
      <c r="AT75" s="7" t="e">
        <f t="shared" si="97"/>
        <v>#VALUE!</v>
      </c>
      <c r="AU75" s="7" t="e">
        <f t="shared" si="98"/>
        <v>#VALUE!</v>
      </c>
      <c r="AV75" s="7" t="e">
        <f t="shared" si="99"/>
        <v>#VALUE!</v>
      </c>
      <c r="AW75" s="7" t="e">
        <f t="shared" si="100"/>
        <v>#VALUE!</v>
      </c>
      <c r="AX75" s="7" t="e">
        <f t="shared" si="101"/>
        <v>#VALUE!</v>
      </c>
      <c r="AY75" s="7" t="e">
        <f t="shared" si="102"/>
        <v>#VALUE!</v>
      </c>
      <c r="AZ75" s="7" t="e">
        <f t="shared" si="103"/>
        <v>#VALUE!</v>
      </c>
      <c r="BA75" s="7"/>
    </row>
    <row r="76" spans="16:53" x14ac:dyDescent="0.25">
      <c r="P76">
        <f t="shared" si="106"/>
        <v>36.5</v>
      </c>
      <c r="Q76">
        <f t="shared" si="104"/>
        <v>1460</v>
      </c>
      <c r="R76" s="7">
        <f t="shared" si="72"/>
        <v>-1.288052987971815</v>
      </c>
      <c r="S76" s="7">
        <f t="shared" si="73"/>
        <v>-1.3351768777756619</v>
      </c>
      <c r="T76" s="7">
        <f t="shared" si="74"/>
        <v>-1.1152653920243765</v>
      </c>
      <c r="U76" s="7">
        <f t="shared" si="75"/>
        <v>-1.0681415022205296</v>
      </c>
      <c r="V76" s="7">
        <f t="shared" si="76"/>
        <v>-1.8849555921538759</v>
      </c>
      <c r="W76" s="7">
        <f t="shared" si="77"/>
        <v>-1.8849555921538759</v>
      </c>
      <c r="X76" s="7" t="e">
        <f t="shared" si="78"/>
        <v>#VALUE!</v>
      </c>
      <c r="Y76" s="7" t="e">
        <f t="shared" si="79"/>
        <v>#VALUE!</v>
      </c>
      <c r="Z76" s="7" t="e">
        <f t="shared" si="80"/>
        <v>#VALUE!</v>
      </c>
      <c r="AA76" s="7" t="e">
        <f t="shared" si="81"/>
        <v>#VALUE!</v>
      </c>
      <c r="AB76" s="7" t="e">
        <f t="shared" si="82"/>
        <v>#VALUE!</v>
      </c>
      <c r="AC76" s="7" t="e">
        <f t="shared" si="83"/>
        <v>#VALUE!</v>
      </c>
      <c r="AD76" s="7" t="e">
        <f t="shared" si="84"/>
        <v>#VALUE!</v>
      </c>
      <c r="AE76" s="7" t="e">
        <f t="shared" si="85"/>
        <v>#VALUE!</v>
      </c>
      <c r="AF76" s="7" t="e">
        <f t="shared" si="86"/>
        <v>#VALUE!</v>
      </c>
      <c r="AG76" s="7" t="e">
        <f t="shared" si="87"/>
        <v>#VALUE!</v>
      </c>
      <c r="AH76" s="7">
        <f>$C$12</f>
        <v>3.183098861837907</v>
      </c>
      <c r="AJ76">
        <f t="shared" si="105"/>
        <v>1460</v>
      </c>
      <c r="AK76" s="7">
        <f t="shared" si="88"/>
        <v>0</v>
      </c>
      <c r="AL76" s="7">
        <f t="shared" si="89"/>
        <v>0</v>
      </c>
      <c r="AM76" s="7">
        <f t="shared" si="90"/>
        <v>0</v>
      </c>
      <c r="AN76" s="7">
        <f t="shared" si="91"/>
        <v>0</v>
      </c>
      <c r="AO76" s="7">
        <f t="shared" si="92"/>
        <v>0</v>
      </c>
      <c r="AP76" s="7">
        <f t="shared" si="93"/>
        <v>0</v>
      </c>
      <c r="AQ76" s="7" t="e">
        <f t="shared" si="94"/>
        <v>#VALUE!</v>
      </c>
      <c r="AR76" s="7" t="e">
        <f t="shared" si="95"/>
        <v>#VALUE!</v>
      </c>
      <c r="AS76" s="7" t="e">
        <f t="shared" si="96"/>
        <v>#VALUE!</v>
      </c>
      <c r="AT76" s="7" t="e">
        <f t="shared" si="97"/>
        <v>#VALUE!</v>
      </c>
      <c r="AU76" s="7" t="e">
        <f t="shared" si="98"/>
        <v>#VALUE!</v>
      </c>
      <c r="AV76" s="7" t="e">
        <f t="shared" si="99"/>
        <v>#VALUE!</v>
      </c>
      <c r="AW76" s="7" t="e">
        <f t="shared" si="100"/>
        <v>#VALUE!</v>
      </c>
      <c r="AX76" s="7" t="e">
        <f t="shared" si="101"/>
        <v>#VALUE!</v>
      </c>
      <c r="AY76" s="7" t="e">
        <f t="shared" si="102"/>
        <v>#VALUE!</v>
      </c>
      <c r="AZ76" s="7" t="e">
        <f t="shared" si="103"/>
        <v>#VALUE!</v>
      </c>
      <c r="BA76" s="7"/>
    </row>
    <row r="77" spans="16:53" x14ac:dyDescent="0.25">
      <c r="P77">
        <f t="shared" si="106"/>
        <v>37</v>
      </c>
      <c r="Q77">
        <f t="shared" si="104"/>
        <v>1480</v>
      </c>
      <c r="R77" s="7">
        <f t="shared" si="72"/>
        <v>-1.288052987971815</v>
      </c>
      <c r="S77" s="7">
        <f t="shared" si="73"/>
        <v>-1.3351768777756619</v>
      </c>
      <c r="T77" s="7">
        <f t="shared" si="74"/>
        <v>-1.1152653920243765</v>
      </c>
      <c r="U77" s="7">
        <f t="shared" si="75"/>
        <v>-1.0681415022205296</v>
      </c>
      <c r="V77" s="7">
        <f t="shared" si="76"/>
        <v>-1.8849555921538759</v>
      </c>
      <c r="W77" s="7">
        <f t="shared" si="77"/>
        <v>-1.8849555921538759</v>
      </c>
      <c r="X77" s="7" t="e">
        <f t="shared" si="78"/>
        <v>#VALUE!</v>
      </c>
      <c r="Y77" s="7" t="e">
        <f t="shared" si="79"/>
        <v>#VALUE!</v>
      </c>
      <c r="Z77" s="7" t="e">
        <f t="shared" si="80"/>
        <v>#VALUE!</v>
      </c>
      <c r="AA77" s="7" t="e">
        <f t="shared" si="81"/>
        <v>#VALUE!</v>
      </c>
      <c r="AB77" s="7" t="e">
        <f t="shared" si="82"/>
        <v>#VALUE!</v>
      </c>
      <c r="AC77" s="7" t="e">
        <f t="shared" si="83"/>
        <v>#VALUE!</v>
      </c>
      <c r="AD77" s="7" t="e">
        <f t="shared" si="84"/>
        <v>#VALUE!</v>
      </c>
      <c r="AE77" s="7" t="e">
        <f t="shared" si="85"/>
        <v>#VALUE!</v>
      </c>
      <c r="AF77" s="7" t="e">
        <f t="shared" si="86"/>
        <v>#VALUE!</v>
      </c>
      <c r="AG77" s="7" t="e">
        <f t="shared" si="87"/>
        <v>#VALUE!</v>
      </c>
      <c r="AH77" s="7">
        <f>$C$12</f>
        <v>3.183098861837907</v>
      </c>
      <c r="AJ77">
        <f t="shared" si="105"/>
        <v>1480</v>
      </c>
      <c r="AK77" s="7">
        <f t="shared" si="88"/>
        <v>0</v>
      </c>
      <c r="AL77" s="7">
        <f t="shared" si="89"/>
        <v>0</v>
      </c>
      <c r="AM77" s="7">
        <f t="shared" si="90"/>
        <v>0</v>
      </c>
      <c r="AN77" s="7">
        <f t="shared" si="91"/>
        <v>0</v>
      </c>
      <c r="AO77" s="7">
        <f t="shared" si="92"/>
        <v>0</v>
      </c>
      <c r="AP77" s="7">
        <f t="shared" si="93"/>
        <v>0</v>
      </c>
      <c r="AQ77" s="7" t="e">
        <f t="shared" si="94"/>
        <v>#VALUE!</v>
      </c>
      <c r="AR77" s="7" t="e">
        <f t="shared" si="95"/>
        <v>#VALUE!</v>
      </c>
      <c r="AS77" s="7" t="e">
        <f t="shared" si="96"/>
        <v>#VALUE!</v>
      </c>
      <c r="AT77" s="7" t="e">
        <f t="shared" si="97"/>
        <v>#VALUE!</v>
      </c>
      <c r="AU77" s="7" t="e">
        <f t="shared" si="98"/>
        <v>#VALUE!</v>
      </c>
      <c r="AV77" s="7" t="e">
        <f t="shared" si="99"/>
        <v>#VALUE!</v>
      </c>
      <c r="AW77" s="7" t="e">
        <f t="shared" si="100"/>
        <v>#VALUE!</v>
      </c>
      <c r="AX77" s="7" t="e">
        <f t="shared" si="101"/>
        <v>#VALUE!</v>
      </c>
      <c r="AY77" s="7" t="e">
        <f t="shared" si="102"/>
        <v>#VALUE!</v>
      </c>
      <c r="AZ77" s="7" t="e">
        <f t="shared" si="103"/>
        <v>#VALUE!</v>
      </c>
      <c r="BA77" s="7"/>
    </row>
    <row r="78" spans="16:53" x14ac:dyDescent="0.25">
      <c r="P78">
        <f t="shared" si="106"/>
        <v>37.5</v>
      </c>
      <c r="Q78">
        <f t="shared" si="104"/>
        <v>1500</v>
      </c>
      <c r="R78" s="7">
        <f t="shared" si="72"/>
        <v>-1.288052987971815</v>
      </c>
      <c r="S78" s="7">
        <f t="shared" si="73"/>
        <v>-1.3351768777756619</v>
      </c>
      <c r="T78" s="7">
        <f t="shared" si="74"/>
        <v>-1.1152653920243765</v>
      </c>
      <c r="U78" s="7">
        <f t="shared" si="75"/>
        <v>-1.0681415022205296</v>
      </c>
      <c r="V78" s="7">
        <f t="shared" si="76"/>
        <v>-1.8849555921538759</v>
      </c>
      <c r="W78" s="7">
        <f t="shared" si="77"/>
        <v>-1.8849555921538759</v>
      </c>
      <c r="X78" s="7" t="e">
        <f t="shared" si="78"/>
        <v>#VALUE!</v>
      </c>
      <c r="Y78" s="7" t="e">
        <f t="shared" si="79"/>
        <v>#VALUE!</v>
      </c>
      <c r="Z78" s="7" t="e">
        <f t="shared" si="80"/>
        <v>#VALUE!</v>
      </c>
      <c r="AA78" s="7" t="e">
        <f t="shared" si="81"/>
        <v>#VALUE!</v>
      </c>
      <c r="AB78" s="7" t="e">
        <f t="shared" si="82"/>
        <v>#VALUE!</v>
      </c>
      <c r="AC78" s="7" t="e">
        <f t="shared" si="83"/>
        <v>#VALUE!</v>
      </c>
      <c r="AD78" s="7" t="e">
        <f t="shared" si="84"/>
        <v>#VALUE!</v>
      </c>
      <c r="AE78" s="7" t="e">
        <f t="shared" si="85"/>
        <v>#VALUE!</v>
      </c>
      <c r="AF78" s="7" t="e">
        <f t="shared" si="86"/>
        <v>#VALUE!</v>
      </c>
      <c r="AG78" s="7" t="e">
        <f t="shared" si="87"/>
        <v>#VALUE!</v>
      </c>
      <c r="AH78" s="7">
        <f>$C$12</f>
        <v>3.183098861837907</v>
      </c>
      <c r="AJ78">
        <f t="shared" si="105"/>
        <v>1500</v>
      </c>
      <c r="AK78" s="7">
        <f t="shared" si="88"/>
        <v>0</v>
      </c>
      <c r="AL78" s="7">
        <f t="shared" si="89"/>
        <v>0</v>
      </c>
      <c r="AM78" s="7">
        <f t="shared" si="90"/>
        <v>0</v>
      </c>
      <c r="AN78" s="7">
        <f t="shared" si="91"/>
        <v>0</v>
      </c>
      <c r="AO78" s="7">
        <f t="shared" si="92"/>
        <v>0</v>
      </c>
      <c r="AP78" s="7">
        <f t="shared" si="93"/>
        <v>0</v>
      </c>
      <c r="AQ78" s="7" t="e">
        <f t="shared" si="94"/>
        <v>#VALUE!</v>
      </c>
      <c r="AR78" s="7" t="e">
        <f t="shared" si="95"/>
        <v>#VALUE!</v>
      </c>
      <c r="AS78" s="7" t="e">
        <f t="shared" si="96"/>
        <v>#VALUE!</v>
      </c>
      <c r="AT78" s="7" t="e">
        <f t="shared" si="97"/>
        <v>#VALUE!</v>
      </c>
      <c r="AU78" s="7" t="e">
        <f t="shared" si="98"/>
        <v>#VALUE!</v>
      </c>
      <c r="AV78" s="7" t="e">
        <f t="shared" si="99"/>
        <v>#VALUE!</v>
      </c>
      <c r="AW78" s="7" t="e">
        <f t="shared" si="100"/>
        <v>#VALUE!</v>
      </c>
      <c r="AX78" s="7" t="e">
        <f t="shared" si="101"/>
        <v>#VALUE!</v>
      </c>
      <c r="AY78" s="7" t="e">
        <f t="shared" si="102"/>
        <v>#VALUE!</v>
      </c>
      <c r="AZ78" s="7" t="e">
        <f t="shared" si="103"/>
        <v>#VALUE!</v>
      </c>
      <c r="BA78" s="7"/>
    </row>
    <row r="79" spans="16:53" x14ac:dyDescent="0.25">
      <c r="P79">
        <f t="shared" si="106"/>
        <v>38</v>
      </c>
      <c r="Q79">
        <f t="shared" si="104"/>
        <v>1520</v>
      </c>
      <c r="R79" s="7">
        <f t="shared" si="72"/>
        <v>-1.288052987971815</v>
      </c>
      <c r="S79" s="7">
        <f t="shared" si="73"/>
        <v>-1.3351768777756619</v>
      </c>
      <c r="T79" s="7">
        <f t="shared" si="74"/>
        <v>-1.1152653920243765</v>
      </c>
      <c r="U79" s="7">
        <f t="shared" si="75"/>
        <v>-1.0681415022205296</v>
      </c>
      <c r="V79" s="7">
        <f t="shared" si="76"/>
        <v>-1.8849555921538759</v>
      </c>
      <c r="W79" s="7">
        <f t="shared" si="77"/>
        <v>-1.8849555921538759</v>
      </c>
      <c r="X79" s="7" t="e">
        <f t="shared" si="78"/>
        <v>#VALUE!</v>
      </c>
      <c r="Y79" s="7" t="e">
        <f t="shared" si="79"/>
        <v>#VALUE!</v>
      </c>
      <c r="Z79" s="7" t="e">
        <f t="shared" si="80"/>
        <v>#VALUE!</v>
      </c>
      <c r="AA79" s="7" t="e">
        <f t="shared" si="81"/>
        <v>#VALUE!</v>
      </c>
      <c r="AB79" s="7" t="e">
        <f t="shared" si="82"/>
        <v>#VALUE!</v>
      </c>
      <c r="AC79" s="7" t="e">
        <f t="shared" si="83"/>
        <v>#VALUE!</v>
      </c>
      <c r="AD79" s="7" t="e">
        <f t="shared" si="84"/>
        <v>#VALUE!</v>
      </c>
      <c r="AE79" s="7" t="e">
        <f t="shared" si="85"/>
        <v>#VALUE!</v>
      </c>
      <c r="AF79" s="7" t="e">
        <f t="shared" si="86"/>
        <v>#VALUE!</v>
      </c>
      <c r="AG79" s="7" t="e">
        <f t="shared" si="87"/>
        <v>#VALUE!</v>
      </c>
      <c r="AH79" s="7">
        <f>$C$12</f>
        <v>3.183098861837907</v>
      </c>
      <c r="AJ79">
        <f t="shared" si="105"/>
        <v>1520</v>
      </c>
      <c r="AK79" s="7">
        <f t="shared" si="88"/>
        <v>0</v>
      </c>
      <c r="AL79" s="7">
        <f t="shared" si="89"/>
        <v>0</v>
      </c>
      <c r="AM79" s="7">
        <f t="shared" si="90"/>
        <v>0</v>
      </c>
      <c r="AN79" s="7">
        <f t="shared" si="91"/>
        <v>0</v>
      </c>
      <c r="AO79" s="7">
        <f t="shared" si="92"/>
        <v>0</v>
      </c>
      <c r="AP79" s="7">
        <f t="shared" si="93"/>
        <v>0</v>
      </c>
      <c r="AQ79" s="7" t="e">
        <f t="shared" si="94"/>
        <v>#VALUE!</v>
      </c>
      <c r="AR79" s="7" t="e">
        <f t="shared" si="95"/>
        <v>#VALUE!</v>
      </c>
      <c r="AS79" s="7" t="e">
        <f t="shared" si="96"/>
        <v>#VALUE!</v>
      </c>
      <c r="AT79" s="7" t="e">
        <f t="shared" si="97"/>
        <v>#VALUE!</v>
      </c>
      <c r="AU79" s="7" t="e">
        <f t="shared" si="98"/>
        <v>#VALUE!</v>
      </c>
      <c r="AV79" s="7" t="e">
        <f t="shared" si="99"/>
        <v>#VALUE!</v>
      </c>
      <c r="AW79" s="7" t="e">
        <f t="shared" si="100"/>
        <v>#VALUE!</v>
      </c>
      <c r="AX79" s="7" t="e">
        <f t="shared" si="101"/>
        <v>#VALUE!</v>
      </c>
      <c r="AY79" s="7" t="e">
        <f t="shared" si="102"/>
        <v>#VALUE!</v>
      </c>
      <c r="AZ79" s="7" t="e">
        <f t="shared" si="103"/>
        <v>#VALUE!</v>
      </c>
      <c r="BA79" s="7"/>
    </row>
    <row r="80" spans="16:53" x14ac:dyDescent="0.25">
      <c r="P80">
        <f t="shared" si="106"/>
        <v>38.5</v>
      </c>
      <c r="Q80">
        <f t="shared" si="104"/>
        <v>1540</v>
      </c>
      <c r="R80" s="7">
        <f t="shared" si="72"/>
        <v>-1.288052987971815</v>
      </c>
      <c r="S80" s="7">
        <f t="shared" si="73"/>
        <v>-1.3351768777756619</v>
      </c>
      <c r="T80" s="7">
        <f t="shared" si="74"/>
        <v>-1.1152653920243765</v>
      </c>
      <c r="U80" s="7">
        <f t="shared" si="75"/>
        <v>-1.0681415022205296</v>
      </c>
      <c r="V80" s="7">
        <f t="shared" si="76"/>
        <v>-1.8849555921538759</v>
      </c>
      <c r="W80" s="7">
        <f t="shared" si="77"/>
        <v>-1.8849555921538759</v>
      </c>
      <c r="X80" s="7" t="e">
        <f t="shared" si="78"/>
        <v>#VALUE!</v>
      </c>
      <c r="Y80" s="7" t="e">
        <f t="shared" si="79"/>
        <v>#VALUE!</v>
      </c>
      <c r="Z80" s="7" t="e">
        <f t="shared" si="80"/>
        <v>#VALUE!</v>
      </c>
      <c r="AA80" s="7" t="e">
        <f t="shared" si="81"/>
        <v>#VALUE!</v>
      </c>
      <c r="AB80" s="7" t="e">
        <f t="shared" si="82"/>
        <v>#VALUE!</v>
      </c>
      <c r="AC80" s="7" t="e">
        <f t="shared" si="83"/>
        <v>#VALUE!</v>
      </c>
      <c r="AD80" s="7" t="e">
        <f t="shared" si="84"/>
        <v>#VALUE!</v>
      </c>
      <c r="AE80" s="7" t="e">
        <f t="shared" si="85"/>
        <v>#VALUE!</v>
      </c>
      <c r="AF80" s="7" t="e">
        <f t="shared" si="86"/>
        <v>#VALUE!</v>
      </c>
      <c r="AG80" s="7" t="e">
        <f t="shared" si="87"/>
        <v>#VALUE!</v>
      </c>
      <c r="AH80" s="7">
        <f>$C$12</f>
        <v>3.183098861837907</v>
      </c>
      <c r="AJ80">
        <f t="shared" si="105"/>
        <v>1540</v>
      </c>
      <c r="AK80" s="7">
        <f t="shared" si="88"/>
        <v>0</v>
      </c>
      <c r="AL80" s="7">
        <f t="shared" si="89"/>
        <v>0</v>
      </c>
      <c r="AM80" s="7">
        <f t="shared" si="90"/>
        <v>0</v>
      </c>
      <c r="AN80" s="7">
        <f t="shared" si="91"/>
        <v>0</v>
      </c>
      <c r="AO80" s="7">
        <f t="shared" si="92"/>
        <v>0</v>
      </c>
      <c r="AP80" s="7">
        <f t="shared" si="93"/>
        <v>0</v>
      </c>
      <c r="AQ80" s="7" t="e">
        <f t="shared" si="94"/>
        <v>#VALUE!</v>
      </c>
      <c r="AR80" s="7" t="e">
        <f t="shared" si="95"/>
        <v>#VALUE!</v>
      </c>
      <c r="AS80" s="7" t="e">
        <f t="shared" si="96"/>
        <v>#VALUE!</v>
      </c>
      <c r="AT80" s="7" t="e">
        <f t="shared" si="97"/>
        <v>#VALUE!</v>
      </c>
      <c r="AU80" s="7" t="e">
        <f t="shared" si="98"/>
        <v>#VALUE!</v>
      </c>
      <c r="AV80" s="7" t="e">
        <f t="shared" si="99"/>
        <v>#VALUE!</v>
      </c>
      <c r="AW80" s="7" t="e">
        <f t="shared" si="100"/>
        <v>#VALUE!</v>
      </c>
      <c r="AX80" s="7" t="e">
        <f t="shared" si="101"/>
        <v>#VALUE!</v>
      </c>
      <c r="AY80" s="7" t="e">
        <f t="shared" si="102"/>
        <v>#VALUE!</v>
      </c>
      <c r="AZ80" s="7" t="e">
        <f t="shared" si="103"/>
        <v>#VALUE!</v>
      </c>
      <c r="BA80" s="7"/>
    </row>
    <row r="81" spans="16:53" x14ac:dyDescent="0.25">
      <c r="P81">
        <f t="shared" si="106"/>
        <v>39</v>
      </c>
      <c r="Q81">
        <f t="shared" si="104"/>
        <v>1560</v>
      </c>
      <c r="R81" s="7">
        <f t="shared" si="72"/>
        <v>-1.288052987971815</v>
      </c>
      <c r="S81" s="7">
        <f t="shared" si="73"/>
        <v>-1.3351768777756619</v>
      </c>
      <c r="T81" s="7">
        <f t="shared" si="74"/>
        <v>-1.1152653920243765</v>
      </c>
      <c r="U81" s="7">
        <f t="shared" si="75"/>
        <v>-1.0681415022205296</v>
      </c>
      <c r="V81" s="7">
        <f t="shared" si="76"/>
        <v>-1.8849555921538759</v>
      </c>
      <c r="W81" s="7">
        <f t="shared" si="77"/>
        <v>-1.8849555921538759</v>
      </c>
      <c r="X81" s="7" t="e">
        <f t="shared" si="78"/>
        <v>#VALUE!</v>
      </c>
      <c r="Y81" s="7" t="e">
        <f t="shared" si="79"/>
        <v>#VALUE!</v>
      </c>
      <c r="Z81" s="7" t="e">
        <f t="shared" si="80"/>
        <v>#VALUE!</v>
      </c>
      <c r="AA81" s="7" t="e">
        <f t="shared" si="81"/>
        <v>#VALUE!</v>
      </c>
      <c r="AB81" s="7" t="e">
        <f t="shared" si="82"/>
        <v>#VALUE!</v>
      </c>
      <c r="AC81" s="7" t="e">
        <f t="shared" si="83"/>
        <v>#VALUE!</v>
      </c>
      <c r="AD81" s="7" t="e">
        <f t="shared" si="84"/>
        <v>#VALUE!</v>
      </c>
      <c r="AE81" s="7" t="e">
        <f t="shared" si="85"/>
        <v>#VALUE!</v>
      </c>
      <c r="AF81" s="7" t="e">
        <f t="shared" si="86"/>
        <v>#VALUE!</v>
      </c>
      <c r="AG81" s="7" t="e">
        <f t="shared" si="87"/>
        <v>#VALUE!</v>
      </c>
      <c r="AH81" s="7">
        <f>$C$12</f>
        <v>3.183098861837907</v>
      </c>
      <c r="AJ81">
        <f t="shared" si="105"/>
        <v>1560</v>
      </c>
      <c r="AK81" s="7">
        <f t="shared" si="88"/>
        <v>0</v>
      </c>
      <c r="AL81" s="7">
        <f t="shared" si="89"/>
        <v>0</v>
      </c>
      <c r="AM81" s="7">
        <f t="shared" si="90"/>
        <v>0</v>
      </c>
      <c r="AN81" s="7">
        <f t="shared" si="91"/>
        <v>0</v>
      </c>
      <c r="AO81" s="7">
        <f t="shared" si="92"/>
        <v>0</v>
      </c>
      <c r="AP81" s="7">
        <f t="shared" si="93"/>
        <v>0</v>
      </c>
      <c r="AQ81" s="7" t="e">
        <f t="shared" si="94"/>
        <v>#VALUE!</v>
      </c>
      <c r="AR81" s="7" t="e">
        <f t="shared" si="95"/>
        <v>#VALUE!</v>
      </c>
      <c r="AS81" s="7" t="e">
        <f t="shared" si="96"/>
        <v>#VALUE!</v>
      </c>
      <c r="AT81" s="7" t="e">
        <f t="shared" si="97"/>
        <v>#VALUE!</v>
      </c>
      <c r="AU81" s="7" t="e">
        <f t="shared" si="98"/>
        <v>#VALUE!</v>
      </c>
      <c r="AV81" s="7" t="e">
        <f t="shared" si="99"/>
        <v>#VALUE!</v>
      </c>
      <c r="AW81" s="7" t="e">
        <f t="shared" si="100"/>
        <v>#VALUE!</v>
      </c>
      <c r="AX81" s="7" t="e">
        <f t="shared" si="101"/>
        <v>#VALUE!</v>
      </c>
      <c r="AY81" s="7" t="e">
        <f t="shared" si="102"/>
        <v>#VALUE!</v>
      </c>
      <c r="AZ81" s="7" t="e">
        <f t="shared" si="103"/>
        <v>#VALUE!</v>
      </c>
      <c r="BA81" s="7"/>
    </row>
    <row r="82" spans="16:53" x14ac:dyDescent="0.25">
      <c r="P82">
        <f t="shared" si="106"/>
        <v>39.5</v>
      </c>
      <c r="Q82">
        <f t="shared" si="104"/>
        <v>1580</v>
      </c>
      <c r="R82" s="7">
        <f t="shared" si="72"/>
        <v>-1.288052987971815</v>
      </c>
      <c r="S82" s="7">
        <f t="shared" si="73"/>
        <v>-1.3351768777756619</v>
      </c>
      <c r="T82" s="7">
        <f t="shared" si="74"/>
        <v>-1.1152653920243765</v>
      </c>
      <c r="U82" s="7">
        <f t="shared" si="75"/>
        <v>-1.0681415022205296</v>
      </c>
      <c r="V82" s="7">
        <f t="shared" si="76"/>
        <v>-1.8849555921538759</v>
      </c>
      <c r="W82" s="7">
        <f t="shared" si="77"/>
        <v>-1.8849555921538759</v>
      </c>
      <c r="X82" s="7" t="e">
        <f t="shared" si="78"/>
        <v>#VALUE!</v>
      </c>
      <c r="Y82" s="7" t="e">
        <f t="shared" si="79"/>
        <v>#VALUE!</v>
      </c>
      <c r="Z82" s="7" t="e">
        <f t="shared" si="80"/>
        <v>#VALUE!</v>
      </c>
      <c r="AA82" s="7" t="e">
        <f t="shared" si="81"/>
        <v>#VALUE!</v>
      </c>
      <c r="AB82" s="7" t="e">
        <f t="shared" si="82"/>
        <v>#VALUE!</v>
      </c>
      <c r="AC82" s="7" t="e">
        <f t="shared" si="83"/>
        <v>#VALUE!</v>
      </c>
      <c r="AD82" s="7" t="e">
        <f t="shared" si="84"/>
        <v>#VALUE!</v>
      </c>
      <c r="AE82" s="7" t="e">
        <f t="shared" si="85"/>
        <v>#VALUE!</v>
      </c>
      <c r="AF82" s="7" t="e">
        <f t="shared" si="86"/>
        <v>#VALUE!</v>
      </c>
      <c r="AG82" s="7" t="e">
        <f t="shared" si="87"/>
        <v>#VALUE!</v>
      </c>
      <c r="AH82" s="7">
        <f>$C$12</f>
        <v>3.183098861837907</v>
      </c>
      <c r="AJ82">
        <f t="shared" si="105"/>
        <v>1580</v>
      </c>
      <c r="AK82" s="7">
        <f t="shared" si="88"/>
        <v>0</v>
      </c>
      <c r="AL82" s="7">
        <f t="shared" si="89"/>
        <v>0</v>
      </c>
      <c r="AM82" s="7">
        <f t="shared" si="90"/>
        <v>0</v>
      </c>
      <c r="AN82" s="7">
        <f t="shared" si="91"/>
        <v>0</v>
      </c>
      <c r="AO82" s="7">
        <f t="shared" si="92"/>
        <v>0</v>
      </c>
      <c r="AP82" s="7">
        <f t="shared" si="93"/>
        <v>0</v>
      </c>
      <c r="AQ82" s="7" t="e">
        <f t="shared" si="94"/>
        <v>#VALUE!</v>
      </c>
      <c r="AR82" s="7" t="e">
        <f t="shared" si="95"/>
        <v>#VALUE!</v>
      </c>
      <c r="AS82" s="7" t="e">
        <f t="shared" si="96"/>
        <v>#VALUE!</v>
      </c>
      <c r="AT82" s="7" t="e">
        <f t="shared" si="97"/>
        <v>#VALUE!</v>
      </c>
      <c r="AU82" s="7" t="e">
        <f t="shared" si="98"/>
        <v>#VALUE!</v>
      </c>
      <c r="AV82" s="7" t="e">
        <f t="shared" si="99"/>
        <v>#VALUE!</v>
      </c>
      <c r="AW82" s="7" t="e">
        <f t="shared" si="100"/>
        <v>#VALUE!</v>
      </c>
      <c r="AX82" s="7" t="e">
        <f t="shared" si="101"/>
        <v>#VALUE!</v>
      </c>
      <c r="AY82" s="7" t="e">
        <f t="shared" si="102"/>
        <v>#VALUE!</v>
      </c>
      <c r="AZ82" s="7" t="e">
        <f t="shared" si="103"/>
        <v>#VALUE!</v>
      </c>
      <c r="BA82" s="7"/>
    </row>
    <row r="83" spans="16:53" x14ac:dyDescent="0.25">
      <c r="P83">
        <f t="shared" si="106"/>
        <v>40</v>
      </c>
      <c r="Q83">
        <f t="shared" si="104"/>
        <v>1600</v>
      </c>
      <c r="R83" s="7">
        <f t="shared" si="72"/>
        <v>-1.288052987971815</v>
      </c>
      <c r="S83" s="7">
        <f t="shared" si="73"/>
        <v>-1.3351768777756619</v>
      </c>
      <c r="T83" s="7">
        <f t="shared" si="74"/>
        <v>-1.1152653920243765</v>
      </c>
      <c r="U83" s="7">
        <f t="shared" si="75"/>
        <v>-1.0681415022205296</v>
      </c>
      <c r="V83" s="7">
        <f t="shared" si="76"/>
        <v>-1.8849555921538759</v>
      </c>
      <c r="W83" s="7">
        <f t="shared" si="77"/>
        <v>-1.8849555921538759</v>
      </c>
      <c r="X83" s="7" t="e">
        <f t="shared" si="78"/>
        <v>#VALUE!</v>
      </c>
      <c r="Y83" s="7" t="e">
        <f t="shared" si="79"/>
        <v>#VALUE!</v>
      </c>
      <c r="Z83" s="7" t="e">
        <f t="shared" si="80"/>
        <v>#VALUE!</v>
      </c>
      <c r="AA83" s="7" t="e">
        <f t="shared" si="81"/>
        <v>#VALUE!</v>
      </c>
      <c r="AB83" s="7" t="e">
        <f t="shared" si="82"/>
        <v>#VALUE!</v>
      </c>
      <c r="AC83" s="7" t="e">
        <f t="shared" si="83"/>
        <v>#VALUE!</v>
      </c>
      <c r="AD83" s="7" t="e">
        <f t="shared" si="84"/>
        <v>#VALUE!</v>
      </c>
      <c r="AE83" s="7" t="e">
        <f t="shared" si="85"/>
        <v>#VALUE!</v>
      </c>
      <c r="AF83" s="7" t="e">
        <f t="shared" si="86"/>
        <v>#VALUE!</v>
      </c>
      <c r="AG83" s="7" t="e">
        <f t="shared" si="87"/>
        <v>#VALUE!</v>
      </c>
      <c r="AH83" s="7">
        <f>$C$12</f>
        <v>3.183098861837907</v>
      </c>
      <c r="AJ83">
        <f t="shared" si="105"/>
        <v>1600</v>
      </c>
      <c r="AK83" s="7">
        <f t="shared" si="88"/>
        <v>0</v>
      </c>
      <c r="AL83" s="7">
        <f t="shared" si="89"/>
        <v>0</v>
      </c>
      <c r="AM83" s="7">
        <f t="shared" si="90"/>
        <v>0</v>
      </c>
      <c r="AN83" s="7">
        <f t="shared" si="91"/>
        <v>0</v>
      </c>
      <c r="AO83" s="7">
        <f t="shared" si="92"/>
        <v>0</v>
      </c>
      <c r="AP83" s="7">
        <f t="shared" si="93"/>
        <v>0</v>
      </c>
      <c r="AQ83" s="7" t="e">
        <f t="shared" si="94"/>
        <v>#VALUE!</v>
      </c>
      <c r="AR83" s="7" t="e">
        <f t="shared" si="95"/>
        <v>#VALUE!</v>
      </c>
      <c r="AS83" s="7" t="e">
        <f t="shared" si="96"/>
        <v>#VALUE!</v>
      </c>
      <c r="AT83" s="7" t="e">
        <f t="shared" si="97"/>
        <v>#VALUE!</v>
      </c>
      <c r="AU83" s="7" t="e">
        <f t="shared" si="98"/>
        <v>#VALUE!</v>
      </c>
      <c r="AV83" s="7" t="e">
        <f t="shared" si="99"/>
        <v>#VALUE!</v>
      </c>
      <c r="AW83" s="7" t="e">
        <f t="shared" si="100"/>
        <v>#VALUE!</v>
      </c>
      <c r="AX83" s="7" t="e">
        <f t="shared" si="101"/>
        <v>#VALUE!</v>
      </c>
      <c r="AY83" s="7" t="e">
        <f t="shared" si="102"/>
        <v>#VALUE!</v>
      </c>
      <c r="AZ83" s="7" t="e">
        <f t="shared" si="103"/>
        <v>#VALUE!</v>
      </c>
      <c r="BA83" s="7"/>
    </row>
    <row r="84" spans="16:53" x14ac:dyDescent="0.25">
      <c r="P84">
        <f t="shared" si="106"/>
        <v>40.5</v>
      </c>
      <c r="Q84">
        <f t="shared" si="104"/>
        <v>1620</v>
      </c>
      <c r="R84" s="7">
        <f t="shared" si="72"/>
        <v>-1.288052987971815</v>
      </c>
      <c r="S84" s="7">
        <f t="shared" si="73"/>
        <v>-1.3351768777756619</v>
      </c>
      <c r="T84" s="7">
        <f t="shared" si="74"/>
        <v>-1.1152653920243765</v>
      </c>
      <c r="U84" s="7">
        <f t="shared" si="75"/>
        <v>-1.0681415022205296</v>
      </c>
      <c r="V84" s="7">
        <f t="shared" si="76"/>
        <v>-1.8849555921538759</v>
      </c>
      <c r="W84" s="7">
        <f t="shared" si="77"/>
        <v>-1.8849555921538759</v>
      </c>
      <c r="X84" s="7" t="e">
        <f t="shared" si="78"/>
        <v>#VALUE!</v>
      </c>
      <c r="Y84" s="7" t="e">
        <f t="shared" si="79"/>
        <v>#VALUE!</v>
      </c>
      <c r="Z84" s="7" t="e">
        <f t="shared" si="80"/>
        <v>#VALUE!</v>
      </c>
      <c r="AA84" s="7" t="e">
        <f t="shared" si="81"/>
        <v>#VALUE!</v>
      </c>
      <c r="AB84" s="7" t="e">
        <f t="shared" si="82"/>
        <v>#VALUE!</v>
      </c>
      <c r="AC84" s="7" t="e">
        <f t="shared" si="83"/>
        <v>#VALUE!</v>
      </c>
      <c r="AD84" s="7" t="e">
        <f t="shared" si="84"/>
        <v>#VALUE!</v>
      </c>
      <c r="AE84" s="7" t="e">
        <f t="shared" si="85"/>
        <v>#VALUE!</v>
      </c>
      <c r="AF84" s="7" t="e">
        <f t="shared" si="86"/>
        <v>#VALUE!</v>
      </c>
      <c r="AG84" s="7" t="e">
        <f t="shared" si="87"/>
        <v>#VALUE!</v>
      </c>
      <c r="AH84" s="7">
        <f>$C$12</f>
        <v>3.183098861837907</v>
      </c>
      <c r="AJ84">
        <f t="shared" si="105"/>
        <v>1620</v>
      </c>
      <c r="AK84" s="7">
        <f t="shared" si="88"/>
        <v>0</v>
      </c>
      <c r="AL84" s="7">
        <f t="shared" si="89"/>
        <v>0</v>
      </c>
      <c r="AM84" s="7">
        <f t="shared" si="90"/>
        <v>0</v>
      </c>
      <c r="AN84" s="7">
        <f t="shared" si="91"/>
        <v>0</v>
      </c>
      <c r="AO84" s="7">
        <f t="shared" si="92"/>
        <v>0</v>
      </c>
      <c r="AP84" s="7">
        <f t="shared" si="93"/>
        <v>0</v>
      </c>
      <c r="AQ84" s="7" t="e">
        <f t="shared" si="94"/>
        <v>#VALUE!</v>
      </c>
      <c r="AR84" s="7" t="e">
        <f t="shared" si="95"/>
        <v>#VALUE!</v>
      </c>
      <c r="AS84" s="7" t="e">
        <f t="shared" si="96"/>
        <v>#VALUE!</v>
      </c>
      <c r="AT84" s="7" t="e">
        <f t="shared" si="97"/>
        <v>#VALUE!</v>
      </c>
      <c r="AU84" s="7" t="e">
        <f t="shared" si="98"/>
        <v>#VALUE!</v>
      </c>
      <c r="AV84" s="7" t="e">
        <f t="shared" si="99"/>
        <v>#VALUE!</v>
      </c>
      <c r="AW84" s="7" t="e">
        <f t="shared" si="100"/>
        <v>#VALUE!</v>
      </c>
      <c r="AX84" s="7" t="e">
        <f t="shared" si="101"/>
        <v>#VALUE!</v>
      </c>
      <c r="AY84" s="7" t="e">
        <f t="shared" si="102"/>
        <v>#VALUE!</v>
      </c>
      <c r="AZ84" s="7" t="e">
        <f t="shared" si="103"/>
        <v>#VALUE!</v>
      </c>
      <c r="BA84" s="7"/>
    </row>
    <row r="85" spans="16:53" x14ac:dyDescent="0.25">
      <c r="P85">
        <f t="shared" si="106"/>
        <v>41</v>
      </c>
      <c r="Q85">
        <f t="shared" si="104"/>
        <v>1640</v>
      </c>
      <c r="R85" s="7">
        <f t="shared" si="72"/>
        <v>-1.288052987971815</v>
      </c>
      <c r="S85" s="7">
        <f t="shared" si="73"/>
        <v>-1.3351768777756619</v>
      </c>
      <c r="T85" s="7">
        <f t="shared" si="74"/>
        <v>-1.1152653920243765</v>
      </c>
      <c r="U85" s="7">
        <f t="shared" si="75"/>
        <v>-1.0681415022205296</v>
      </c>
      <c r="V85" s="7">
        <f t="shared" si="76"/>
        <v>-1.8849555921538759</v>
      </c>
      <c r="W85" s="7">
        <f t="shared" si="77"/>
        <v>-1.8849555921538759</v>
      </c>
      <c r="X85" s="7" t="e">
        <f t="shared" si="78"/>
        <v>#VALUE!</v>
      </c>
      <c r="Y85" s="7" t="e">
        <f t="shared" si="79"/>
        <v>#VALUE!</v>
      </c>
      <c r="Z85" s="7" t="e">
        <f t="shared" si="80"/>
        <v>#VALUE!</v>
      </c>
      <c r="AA85" s="7" t="e">
        <f t="shared" si="81"/>
        <v>#VALUE!</v>
      </c>
      <c r="AB85" s="7" t="e">
        <f t="shared" si="82"/>
        <v>#VALUE!</v>
      </c>
      <c r="AC85" s="7" t="e">
        <f t="shared" si="83"/>
        <v>#VALUE!</v>
      </c>
      <c r="AD85" s="7" t="e">
        <f t="shared" si="84"/>
        <v>#VALUE!</v>
      </c>
      <c r="AE85" s="7" t="e">
        <f t="shared" si="85"/>
        <v>#VALUE!</v>
      </c>
      <c r="AF85" s="7" t="e">
        <f t="shared" si="86"/>
        <v>#VALUE!</v>
      </c>
      <c r="AG85" s="7" t="e">
        <f t="shared" si="87"/>
        <v>#VALUE!</v>
      </c>
      <c r="AH85" s="7">
        <f>$C$12</f>
        <v>3.183098861837907</v>
      </c>
      <c r="AJ85">
        <f t="shared" si="105"/>
        <v>1640</v>
      </c>
      <c r="AK85" s="7">
        <f t="shared" si="88"/>
        <v>0</v>
      </c>
      <c r="AL85" s="7">
        <f t="shared" si="89"/>
        <v>0</v>
      </c>
      <c r="AM85" s="7">
        <f t="shared" si="90"/>
        <v>0</v>
      </c>
      <c r="AN85" s="7">
        <f t="shared" si="91"/>
        <v>0</v>
      </c>
      <c r="AO85" s="7">
        <f t="shared" si="92"/>
        <v>0</v>
      </c>
      <c r="AP85" s="7">
        <f t="shared" si="93"/>
        <v>0</v>
      </c>
      <c r="AQ85" s="7" t="e">
        <f t="shared" si="94"/>
        <v>#VALUE!</v>
      </c>
      <c r="AR85" s="7" t="e">
        <f t="shared" si="95"/>
        <v>#VALUE!</v>
      </c>
      <c r="AS85" s="7" t="e">
        <f t="shared" si="96"/>
        <v>#VALUE!</v>
      </c>
      <c r="AT85" s="7" t="e">
        <f t="shared" si="97"/>
        <v>#VALUE!</v>
      </c>
      <c r="AU85" s="7" t="e">
        <f t="shared" si="98"/>
        <v>#VALUE!</v>
      </c>
      <c r="AV85" s="7" t="e">
        <f t="shared" si="99"/>
        <v>#VALUE!</v>
      </c>
      <c r="AW85" s="7" t="e">
        <f t="shared" si="100"/>
        <v>#VALUE!</v>
      </c>
      <c r="AX85" s="7" t="e">
        <f t="shared" si="101"/>
        <v>#VALUE!</v>
      </c>
      <c r="AY85" s="7" t="e">
        <f t="shared" si="102"/>
        <v>#VALUE!</v>
      </c>
      <c r="AZ85" s="7" t="e">
        <f t="shared" si="103"/>
        <v>#VALUE!</v>
      </c>
      <c r="BA85" s="7"/>
    </row>
    <row r="86" spans="16:53" x14ac:dyDescent="0.25">
      <c r="P86">
        <f t="shared" si="106"/>
        <v>41.5</v>
      </c>
      <c r="Q86">
        <f t="shared" si="104"/>
        <v>1660</v>
      </c>
      <c r="R86" s="7">
        <f t="shared" si="72"/>
        <v>-1.288052987971815</v>
      </c>
      <c r="S86" s="7">
        <f t="shared" si="73"/>
        <v>-1.3351768777756619</v>
      </c>
      <c r="T86" s="7">
        <f t="shared" si="74"/>
        <v>-1.1152653920243765</v>
      </c>
      <c r="U86" s="7">
        <f t="shared" si="75"/>
        <v>-1.0681415022205296</v>
      </c>
      <c r="V86" s="7">
        <f t="shared" si="76"/>
        <v>-1.8849555921538759</v>
      </c>
      <c r="W86" s="7">
        <f t="shared" si="77"/>
        <v>-1.8849555921538759</v>
      </c>
      <c r="X86" s="7" t="e">
        <f t="shared" si="78"/>
        <v>#VALUE!</v>
      </c>
      <c r="Y86" s="7" t="e">
        <f t="shared" si="79"/>
        <v>#VALUE!</v>
      </c>
      <c r="Z86" s="7" t="e">
        <f t="shared" si="80"/>
        <v>#VALUE!</v>
      </c>
      <c r="AA86" s="7" t="e">
        <f t="shared" si="81"/>
        <v>#VALUE!</v>
      </c>
      <c r="AB86" s="7" t="e">
        <f t="shared" si="82"/>
        <v>#VALUE!</v>
      </c>
      <c r="AC86" s="7" t="e">
        <f t="shared" si="83"/>
        <v>#VALUE!</v>
      </c>
      <c r="AD86" s="7" t="e">
        <f t="shared" si="84"/>
        <v>#VALUE!</v>
      </c>
      <c r="AE86" s="7" t="e">
        <f t="shared" si="85"/>
        <v>#VALUE!</v>
      </c>
      <c r="AF86" s="7" t="e">
        <f t="shared" si="86"/>
        <v>#VALUE!</v>
      </c>
      <c r="AG86" s="7" t="e">
        <f t="shared" si="87"/>
        <v>#VALUE!</v>
      </c>
      <c r="AH86" s="7">
        <f>$C$12</f>
        <v>3.183098861837907</v>
      </c>
      <c r="AJ86">
        <f t="shared" si="105"/>
        <v>1660</v>
      </c>
      <c r="AK86" s="7">
        <f t="shared" si="88"/>
        <v>0</v>
      </c>
      <c r="AL86" s="7">
        <f t="shared" si="89"/>
        <v>0</v>
      </c>
      <c r="AM86" s="7">
        <f t="shared" si="90"/>
        <v>0</v>
      </c>
      <c r="AN86" s="7">
        <f t="shared" si="91"/>
        <v>0</v>
      </c>
      <c r="AO86" s="7">
        <f t="shared" si="92"/>
        <v>0</v>
      </c>
      <c r="AP86" s="7">
        <f t="shared" si="93"/>
        <v>0</v>
      </c>
      <c r="AQ86" s="7" t="e">
        <f t="shared" si="94"/>
        <v>#VALUE!</v>
      </c>
      <c r="AR86" s="7" t="e">
        <f t="shared" si="95"/>
        <v>#VALUE!</v>
      </c>
      <c r="AS86" s="7" t="e">
        <f t="shared" si="96"/>
        <v>#VALUE!</v>
      </c>
      <c r="AT86" s="7" t="e">
        <f t="shared" si="97"/>
        <v>#VALUE!</v>
      </c>
      <c r="AU86" s="7" t="e">
        <f t="shared" si="98"/>
        <v>#VALUE!</v>
      </c>
      <c r="AV86" s="7" t="e">
        <f t="shared" si="99"/>
        <v>#VALUE!</v>
      </c>
      <c r="AW86" s="7" t="e">
        <f t="shared" si="100"/>
        <v>#VALUE!</v>
      </c>
      <c r="AX86" s="7" t="e">
        <f t="shared" si="101"/>
        <v>#VALUE!</v>
      </c>
      <c r="AY86" s="7" t="e">
        <f t="shared" si="102"/>
        <v>#VALUE!</v>
      </c>
      <c r="AZ86" s="7" t="e">
        <f t="shared" si="103"/>
        <v>#VALUE!</v>
      </c>
      <c r="BA86" s="7"/>
    </row>
    <row r="87" spans="16:53" x14ac:dyDescent="0.25">
      <c r="P87">
        <f t="shared" si="106"/>
        <v>42</v>
      </c>
      <c r="Q87">
        <f t="shared" si="104"/>
        <v>1680</v>
      </c>
      <c r="R87" s="7">
        <f t="shared" si="72"/>
        <v>-1.288052987971815</v>
      </c>
      <c r="S87" s="7">
        <f t="shared" si="73"/>
        <v>-1.3351768777756619</v>
      </c>
      <c r="T87" s="7">
        <f t="shared" si="74"/>
        <v>-1.1152653920243765</v>
      </c>
      <c r="U87" s="7">
        <f t="shared" si="75"/>
        <v>-1.0681415022205296</v>
      </c>
      <c r="V87" s="7">
        <f t="shared" si="76"/>
        <v>-1.8849555921538759</v>
      </c>
      <c r="W87" s="7">
        <f t="shared" si="77"/>
        <v>-1.8849555921538759</v>
      </c>
      <c r="X87" s="7" t="e">
        <f t="shared" si="78"/>
        <v>#VALUE!</v>
      </c>
      <c r="Y87" s="7" t="e">
        <f t="shared" si="79"/>
        <v>#VALUE!</v>
      </c>
      <c r="Z87" s="7" t="e">
        <f t="shared" si="80"/>
        <v>#VALUE!</v>
      </c>
      <c r="AA87" s="7" t="e">
        <f t="shared" si="81"/>
        <v>#VALUE!</v>
      </c>
      <c r="AB87" s="7" t="e">
        <f t="shared" si="82"/>
        <v>#VALUE!</v>
      </c>
      <c r="AC87" s="7" t="e">
        <f t="shared" si="83"/>
        <v>#VALUE!</v>
      </c>
      <c r="AD87" s="7" t="e">
        <f t="shared" si="84"/>
        <v>#VALUE!</v>
      </c>
      <c r="AE87" s="7" t="e">
        <f t="shared" si="85"/>
        <v>#VALUE!</v>
      </c>
      <c r="AF87" s="7" t="e">
        <f t="shared" si="86"/>
        <v>#VALUE!</v>
      </c>
      <c r="AG87" s="7" t="e">
        <f t="shared" si="87"/>
        <v>#VALUE!</v>
      </c>
      <c r="AH87" s="7">
        <f>$C$12</f>
        <v>3.183098861837907</v>
      </c>
      <c r="AJ87">
        <f t="shared" si="105"/>
        <v>1680</v>
      </c>
      <c r="AK87" s="7">
        <f t="shared" si="88"/>
        <v>0</v>
      </c>
      <c r="AL87" s="7">
        <f t="shared" si="89"/>
        <v>0</v>
      </c>
      <c r="AM87" s="7">
        <f t="shared" si="90"/>
        <v>0</v>
      </c>
      <c r="AN87" s="7">
        <f t="shared" si="91"/>
        <v>0</v>
      </c>
      <c r="AO87" s="7">
        <f t="shared" si="92"/>
        <v>0</v>
      </c>
      <c r="AP87" s="7">
        <f t="shared" si="93"/>
        <v>0</v>
      </c>
      <c r="AQ87" s="7" t="e">
        <f t="shared" si="94"/>
        <v>#VALUE!</v>
      </c>
      <c r="AR87" s="7" t="e">
        <f t="shared" si="95"/>
        <v>#VALUE!</v>
      </c>
      <c r="AS87" s="7" t="e">
        <f t="shared" si="96"/>
        <v>#VALUE!</v>
      </c>
      <c r="AT87" s="7" t="e">
        <f t="shared" si="97"/>
        <v>#VALUE!</v>
      </c>
      <c r="AU87" s="7" t="e">
        <f t="shared" si="98"/>
        <v>#VALUE!</v>
      </c>
      <c r="AV87" s="7" t="e">
        <f t="shared" si="99"/>
        <v>#VALUE!</v>
      </c>
      <c r="AW87" s="7" t="e">
        <f t="shared" si="100"/>
        <v>#VALUE!</v>
      </c>
      <c r="AX87" s="7" t="e">
        <f t="shared" si="101"/>
        <v>#VALUE!</v>
      </c>
      <c r="AY87" s="7" t="e">
        <f t="shared" si="102"/>
        <v>#VALUE!</v>
      </c>
      <c r="AZ87" s="7" t="e">
        <f t="shared" si="103"/>
        <v>#VALUE!</v>
      </c>
      <c r="BA87" s="7"/>
    </row>
    <row r="88" spans="16:53" x14ac:dyDescent="0.25">
      <c r="P88">
        <f t="shared" si="106"/>
        <v>42.5</v>
      </c>
      <c r="Q88">
        <f t="shared" si="104"/>
        <v>1700</v>
      </c>
      <c r="R88" s="7">
        <f t="shared" si="72"/>
        <v>-1.288052987971815</v>
      </c>
      <c r="S88" s="7">
        <f t="shared" si="73"/>
        <v>-1.3351768777756619</v>
      </c>
      <c r="T88" s="7">
        <f t="shared" si="74"/>
        <v>-1.1152653920243765</v>
      </c>
      <c r="U88" s="7">
        <f t="shared" si="75"/>
        <v>-1.0681415022205296</v>
      </c>
      <c r="V88" s="7">
        <f t="shared" si="76"/>
        <v>-1.8849555921538759</v>
      </c>
      <c r="W88" s="7">
        <f t="shared" si="77"/>
        <v>-1.8849555921538759</v>
      </c>
      <c r="X88" s="7" t="e">
        <f t="shared" si="78"/>
        <v>#VALUE!</v>
      </c>
      <c r="Y88" s="7" t="e">
        <f t="shared" si="79"/>
        <v>#VALUE!</v>
      </c>
      <c r="Z88" s="7" t="e">
        <f t="shared" si="80"/>
        <v>#VALUE!</v>
      </c>
      <c r="AA88" s="7" t="e">
        <f t="shared" si="81"/>
        <v>#VALUE!</v>
      </c>
      <c r="AB88" s="7" t="e">
        <f t="shared" si="82"/>
        <v>#VALUE!</v>
      </c>
      <c r="AC88" s="7" t="e">
        <f t="shared" si="83"/>
        <v>#VALUE!</v>
      </c>
      <c r="AD88" s="7" t="e">
        <f t="shared" si="84"/>
        <v>#VALUE!</v>
      </c>
      <c r="AE88" s="7" t="e">
        <f t="shared" si="85"/>
        <v>#VALUE!</v>
      </c>
      <c r="AF88" s="7" t="e">
        <f t="shared" si="86"/>
        <v>#VALUE!</v>
      </c>
      <c r="AG88" s="7" t="e">
        <f t="shared" si="87"/>
        <v>#VALUE!</v>
      </c>
      <c r="AH88" s="7">
        <f>$C$12</f>
        <v>3.183098861837907</v>
      </c>
      <c r="AJ88">
        <f t="shared" si="105"/>
        <v>1700</v>
      </c>
      <c r="AK88" s="7">
        <f t="shared" si="88"/>
        <v>0</v>
      </c>
      <c r="AL88" s="7">
        <f t="shared" si="89"/>
        <v>0</v>
      </c>
      <c r="AM88" s="7">
        <f t="shared" si="90"/>
        <v>0</v>
      </c>
      <c r="AN88" s="7">
        <f t="shared" si="91"/>
        <v>0</v>
      </c>
      <c r="AO88" s="7">
        <f t="shared" si="92"/>
        <v>0</v>
      </c>
      <c r="AP88" s="7">
        <f t="shared" si="93"/>
        <v>0</v>
      </c>
      <c r="AQ88" s="7" t="e">
        <f t="shared" si="94"/>
        <v>#VALUE!</v>
      </c>
      <c r="AR88" s="7" t="e">
        <f t="shared" si="95"/>
        <v>#VALUE!</v>
      </c>
      <c r="AS88" s="7" t="e">
        <f t="shared" si="96"/>
        <v>#VALUE!</v>
      </c>
      <c r="AT88" s="7" t="e">
        <f t="shared" si="97"/>
        <v>#VALUE!</v>
      </c>
      <c r="AU88" s="7" t="e">
        <f t="shared" si="98"/>
        <v>#VALUE!</v>
      </c>
      <c r="AV88" s="7" t="e">
        <f t="shared" si="99"/>
        <v>#VALUE!</v>
      </c>
      <c r="AW88" s="7" t="e">
        <f t="shared" si="100"/>
        <v>#VALUE!</v>
      </c>
      <c r="AX88" s="7" t="e">
        <f t="shared" si="101"/>
        <v>#VALUE!</v>
      </c>
      <c r="AY88" s="7" t="e">
        <f t="shared" si="102"/>
        <v>#VALUE!</v>
      </c>
      <c r="AZ88" s="7" t="e">
        <f t="shared" si="103"/>
        <v>#VALUE!</v>
      </c>
      <c r="BA88" s="7"/>
    </row>
    <row r="89" spans="16:53" x14ac:dyDescent="0.25">
      <c r="P89">
        <f t="shared" si="106"/>
        <v>43</v>
      </c>
      <c r="Q89">
        <f t="shared" si="104"/>
        <v>1720</v>
      </c>
      <c r="R89" s="7">
        <f t="shared" si="72"/>
        <v>-1.288052987971815</v>
      </c>
      <c r="S89" s="7">
        <f t="shared" si="73"/>
        <v>-1.3351768777756619</v>
      </c>
      <c r="T89" s="7">
        <f t="shared" si="74"/>
        <v>-1.1152653920243765</v>
      </c>
      <c r="U89" s="7">
        <f t="shared" si="75"/>
        <v>-1.0681415022205296</v>
      </c>
      <c r="V89" s="7">
        <f t="shared" si="76"/>
        <v>-1.8849555921538759</v>
      </c>
      <c r="W89" s="7">
        <f t="shared" si="77"/>
        <v>-1.8849555921538759</v>
      </c>
      <c r="X89" s="7" t="e">
        <f t="shared" si="78"/>
        <v>#VALUE!</v>
      </c>
      <c r="Y89" s="7" t="e">
        <f t="shared" si="79"/>
        <v>#VALUE!</v>
      </c>
      <c r="Z89" s="7" t="e">
        <f t="shared" si="80"/>
        <v>#VALUE!</v>
      </c>
      <c r="AA89" s="7" t="e">
        <f t="shared" si="81"/>
        <v>#VALUE!</v>
      </c>
      <c r="AB89" s="7" t="e">
        <f t="shared" si="82"/>
        <v>#VALUE!</v>
      </c>
      <c r="AC89" s="7" t="e">
        <f t="shared" si="83"/>
        <v>#VALUE!</v>
      </c>
      <c r="AD89" s="7" t="e">
        <f t="shared" si="84"/>
        <v>#VALUE!</v>
      </c>
      <c r="AE89" s="7" t="e">
        <f t="shared" si="85"/>
        <v>#VALUE!</v>
      </c>
      <c r="AF89" s="7" t="e">
        <f t="shared" si="86"/>
        <v>#VALUE!</v>
      </c>
      <c r="AG89" s="7" t="e">
        <f t="shared" si="87"/>
        <v>#VALUE!</v>
      </c>
      <c r="AH89" s="7">
        <f>$C$12</f>
        <v>3.183098861837907</v>
      </c>
      <c r="AJ89">
        <f t="shared" si="105"/>
        <v>1720</v>
      </c>
      <c r="AK89" s="7">
        <f t="shared" si="88"/>
        <v>0</v>
      </c>
      <c r="AL89" s="7">
        <f t="shared" si="89"/>
        <v>0</v>
      </c>
      <c r="AM89" s="7">
        <f t="shared" si="90"/>
        <v>0</v>
      </c>
      <c r="AN89" s="7">
        <f t="shared" si="91"/>
        <v>0</v>
      </c>
      <c r="AO89" s="7">
        <f t="shared" si="92"/>
        <v>0</v>
      </c>
      <c r="AP89" s="7">
        <f t="shared" si="93"/>
        <v>0</v>
      </c>
      <c r="AQ89" s="7" t="e">
        <f t="shared" si="94"/>
        <v>#VALUE!</v>
      </c>
      <c r="AR89" s="7" t="e">
        <f t="shared" si="95"/>
        <v>#VALUE!</v>
      </c>
      <c r="AS89" s="7" t="e">
        <f t="shared" si="96"/>
        <v>#VALUE!</v>
      </c>
      <c r="AT89" s="7" t="e">
        <f t="shared" si="97"/>
        <v>#VALUE!</v>
      </c>
      <c r="AU89" s="7" t="e">
        <f t="shared" si="98"/>
        <v>#VALUE!</v>
      </c>
      <c r="AV89" s="7" t="e">
        <f t="shared" si="99"/>
        <v>#VALUE!</v>
      </c>
      <c r="AW89" s="7" t="e">
        <f t="shared" si="100"/>
        <v>#VALUE!</v>
      </c>
      <c r="AX89" s="7" t="e">
        <f t="shared" si="101"/>
        <v>#VALUE!</v>
      </c>
      <c r="AY89" s="7" t="e">
        <f t="shared" si="102"/>
        <v>#VALUE!</v>
      </c>
      <c r="AZ89" s="7" t="e">
        <f t="shared" si="103"/>
        <v>#VALUE!</v>
      </c>
      <c r="BA89" s="7"/>
    </row>
    <row r="90" spans="16:53" x14ac:dyDescent="0.25">
      <c r="P90">
        <f t="shared" si="106"/>
        <v>43.5</v>
      </c>
      <c r="Q90">
        <f t="shared" si="104"/>
        <v>1740</v>
      </c>
      <c r="R90" s="7">
        <f t="shared" si="72"/>
        <v>-1.288052987971815</v>
      </c>
      <c r="S90" s="7">
        <f t="shared" si="73"/>
        <v>-1.3351768777756619</v>
      </c>
      <c r="T90" s="7">
        <f t="shared" si="74"/>
        <v>-1.1152653920243765</v>
      </c>
      <c r="U90" s="7">
        <f t="shared" si="75"/>
        <v>-1.0681415022205296</v>
      </c>
      <c r="V90" s="7">
        <f t="shared" si="76"/>
        <v>-1.8849555921538759</v>
      </c>
      <c r="W90" s="7">
        <f t="shared" si="77"/>
        <v>-1.8849555921538759</v>
      </c>
      <c r="X90" s="7" t="e">
        <f t="shared" si="78"/>
        <v>#VALUE!</v>
      </c>
      <c r="Y90" s="7" t="e">
        <f t="shared" si="79"/>
        <v>#VALUE!</v>
      </c>
      <c r="Z90" s="7" t="e">
        <f t="shared" si="80"/>
        <v>#VALUE!</v>
      </c>
      <c r="AA90" s="7" t="e">
        <f t="shared" si="81"/>
        <v>#VALUE!</v>
      </c>
      <c r="AB90" s="7" t="e">
        <f t="shared" si="82"/>
        <v>#VALUE!</v>
      </c>
      <c r="AC90" s="7" t="e">
        <f t="shared" si="83"/>
        <v>#VALUE!</v>
      </c>
      <c r="AD90" s="7" t="e">
        <f t="shared" si="84"/>
        <v>#VALUE!</v>
      </c>
      <c r="AE90" s="7" t="e">
        <f t="shared" si="85"/>
        <v>#VALUE!</v>
      </c>
      <c r="AF90" s="7" t="e">
        <f t="shared" si="86"/>
        <v>#VALUE!</v>
      </c>
      <c r="AG90" s="7" t="e">
        <f t="shared" si="87"/>
        <v>#VALUE!</v>
      </c>
      <c r="AH90" s="7">
        <f>$C$12</f>
        <v>3.183098861837907</v>
      </c>
      <c r="AJ90">
        <f t="shared" si="105"/>
        <v>1740</v>
      </c>
      <c r="AK90" s="7">
        <f t="shared" si="88"/>
        <v>0</v>
      </c>
      <c r="AL90" s="7">
        <f t="shared" si="89"/>
        <v>0</v>
      </c>
      <c r="AM90" s="7">
        <f t="shared" si="90"/>
        <v>0</v>
      </c>
      <c r="AN90" s="7">
        <f t="shared" si="91"/>
        <v>0</v>
      </c>
      <c r="AO90" s="7">
        <f t="shared" si="92"/>
        <v>0</v>
      </c>
      <c r="AP90" s="7">
        <f t="shared" si="93"/>
        <v>0</v>
      </c>
      <c r="AQ90" s="7" t="e">
        <f t="shared" si="94"/>
        <v>#VALUE!</v>
      </c>
      <c r="AR90" s="7" t="e">
        <f t="shared" si="95"/>
        <v>#VALUE!</v>
      </c>
      <c r="AS90" s="7" t="e">
        <f t="shared" si="96"/>
        <v>#VALUE!</v>
      </c>
      <c r="AT90" s="7" t="e">
        <f t="shared" si="97"/>
        <v>#VALUE!</v>
      </c>
      <c r="AU90" s="7" t="e">
        <f t="shared" si="98"/>
        <v>#VALUE!</v>
      </c>
      <c r="AV90" s="7" t="e">
        <f t="shared" si="99"/>
        <v>#VALUE!</v>
      </c>
      <c r="AW90" s="7" t="e">
        <f t="shared" si="100"/>
        <v>#VALUE!</v>
      </c>
      <c r="AX90" s="7" t="e">
        <f t="shared" si="101"/>
        <v>#VALUE!</v>
      </c>
      <c r="AY90" s="7" t="e">
        <f t="shared" si="102"/>
        <v>#VALUE!</v>
      </c>
      <c r="AZ90" s="7" t="e">
        <f t="shared" si="103"/>
        <v>#VALUE!</v>
      </c>
      <c r="BA90" s="7"/>
    </row>
    <row r="91" spans="16:53" x14ac:dyDescent="0.25">
      <c r="P91">
        <f t="shared" si="106"/>
        <v>44</v>
      </c>
      <c r="Q91">
        <f t="shared" si="104"/>
        <v>1760</v>
      </c>
      <c r="R91" s="7">
        <f t="shared" si="72"/>
        <v>-1.288052987971815</v>
      </c>
      <c r="S91" s="7">
        <f t="shared" si="73"/>
        <v>-1.3351768777756619</v>
      </c>
      <c r="T91" s="7">
        <f t="shared" si="74"/>
        <v>-1.1152653920243765</v>
      </c>
      <c r="U91" s="7">
        <f t="shared" si="75"/>
        <v>-1.0681415022205296</v>
      </c>
      <c r="V91" s="7">
        <f t="shared" si="76"/>
        <v>-1.8849555921538759</v>
      </c>
      <c r="W91" s="7">
        <f t="shared" si="77"/>
        <v>-1.8849555921538759</v>
      </c>
      <c r="X91" s="7" t="e">
        <f t="shared" si="78"/>
        <v>#VALUE!</v>
      </c>
      <c r="Y91" s="7" t="e">
        <f t="shared" si="79"/>
        <v>#VALUE!</v>
      </c>
      <c r="Z91" s="7" t="e">
        <f t="shared" si="80"/>
        <v>#VALUE!</v>
      </c>
      <c r="AA91" s="7" t="e">
        <f t="shared" si="81"/>
        <v>#VALUE!</v>
      </c>
      <c r="AB91" s="7" t="e">
        <f t="shared" si="82"/>
        <v>#VALUE!</v>
      </c>
      <c r="AC91" s="7" t="e">
        <f t="shared" si="83"/>
        <v>#VALUE!</v>
      </c>
      <c r="AD91" s="7" t="e">
        <f t="shared" si="84"/>
        <v>#VALUE!</v>
      </c>
      <c r="AE91" s="7" t="e">
        <f t="shared" si="85"/>
        <v>#VALUE!</v>
      </c>
      <c r="AF91" s="7" t="e">
        <f t="shared" si="86"/>
        <v>#VALUE!</v>
      </c>
      <c r="AG91" s="7" t="e">
        <f t="shared" si="87"/>
        <v>#VALUE!</v>
      </c>
      <c r="AH91" s="7">
        <f>$C$12</f>
        <v>3.183098861837907</v>
      </c>
      <c r="AJ91">
        <f t="shared" si="105"/>
        <v>1760</v>
      </c>
      <c r="AK91" s="7">
        <f t="shared" si="88"/>
        <v>0</v>
      </c>
      <c r="AL91" s="7">
        <f t="shared" si="89"/>
        <v>0</v>
      </c>
      <c r="AM91" s="7">
        <f t="shared" si="90"/>
        <v>0</v>
      </c>
      <c r="AN91" s="7">
        <f t="shared" si="91"/>
        <v>0</v>
      </c>
      <c r="AO91" s="7">
        <f t="shared" si="92"/>
        <v>0</v>
      </c>
      <c r="AP91" s="7">
        <f t="shared" si="93"/>
        <v>0</v>
      </c>
      <c r="AQ91" s="7" t="e">
        <f t="shared" si="94"/>
        <v>#VALUE!</v>
      </c>
      <c r="AR91" s="7" t="e">
        <f t="shared" si="95"/>
        <v>#VALUE!</v>
      </c>
      <c r="AS91" s="7" t="e">
        <f t="shared" si="96"/>
        <v>#VALUE!</v>
      </c>
      <c r="AT91" s="7" t="e">
        <f t="shared" si="97"/>
        <v>#VALUE!</v>
      </c>
      <c r="AU91" s="7" t="e">
        <f t="shared" si="98"/>
        <v>#VALUE!</v>
      </c>
      <c r="AV91" s="7" t="e">
        <f t="shared" si="99"/>
        <v>#VALUE!</v>
      </c>
      <c r="AW91" s="7" t="e">
        <f t="shared" si="100"/>
        <v>#VALUE!</v>
      </c>
      <c r="AX91" s="7" t="e">
        <f t="shared" si="101"/>
        <v>#VALUE!</v>
      </c>
      <c r="AY91" s="7" t="e">
        <f t="shared" si="102"/>
        <v>#VALUE!</v>
      </c>
      <c r="AZ91" s="7" t="e">
        <f t="shared" si="103"/>
        <v>#VALUE!</v>
      </c>
      <c r="BA91" s="7"/>
    </row>
    <row r="92" spans="16:53" x14ac:dyDescent="0.25">
      <c r="P92">
        <f t="shared" si="106"/>
        <v>44.5</v>
      </c>
      <c r="Q92">
        <f t="shared" si="104"/>
        <v>1780</v>
      </c>
      <c r="R92" s="7">
        <f t="shared" si="72"/>
        <v>-1.288052987971815</v>
      </c>
      <c r="S92" s="7">
        <f t="shared" si="73"/>
        <v>-1.3351768777756619</v>
      </c>
      <c r="T92" s="7">
        <f t="shared" si="74"/>
        <v>-1.1152653920243765</v>
      </c>
      <c r="U92" s="7">
        <f t="shared" si="75"/>
        <v>-1.0681415022205296</v>
      </c>
      <c r="V92" s="7">
        <f t="shared" si="76"/>
        <v>-1.8849555921538759</v>
      </c>
      <c r="W92" s="7">
        <f t="shared" si="77"/>
        <v>-1.8849555921538759</v>
      </c>
      <c r="X92" s="7" t="e">
        <f t="shared" si="78"/>
        <v>#VALUE!</v>
      </c>
      <c r="Y92" s="7" t="e">
        <f t="shared" si="79"/>
        <v>#VALUE!</v>
      </c>
      <c r="Z92" s="7" t="e">
        <f t="shared" si="80"/>
        <v>#VALUE!</v>
      </c>
      <c r="AA92" s="7" t="e">
        <f t="shared" si="81"/>
        <v>#VALUE!</v>
      </c>
      <c r="AB92" s="7" t="e">
        <f t="shared" si="82"/>
        <v>#VALUE!</v>
      </c>
      <c r="AC92" s="7" t="e">
        <f t="shared" si="83"/>
        <v>#VALUE!</v>
      </c>
      <c r="AD92" s="7" t="e">
        <f t="shared" si="84"/>
        <v>#VALUE!</v>
      </c>
      <c r="AE92" s="7" t="e">
        <f t="shared" si="85"/>
        <v>#VALUE!</v>
      </c>
      <c r="AF92" s="7" t="e">
        <f t="shared" si="86"/>
        <v>#VALUE!</v>
      </c>
      <c r="AG92" s="7" t="e">
        <f t="shared" si="87"/>
        <v>#VALUE!</v>
      </c>
      <c r="AH92" s="7">
        <f>$C$12</f>
        <v>3.183098861837907</v>
      </c>
      <c r="AJ92">
        <f t="shared" si="105"/>
        <v>1780</v>
      </c>
      <c r="AK92" s="7">
        <f t="shared" si="88"/>
        <v>0</v>
      </c>
      <c r="AL92" s="7">
        <f t="shared" si="89"/>
        <v>0</v>
      </c>
      <c r="AM92" s="7">
        <f t="shared" si="90"/>
        <v>0</v>
      </c>
      <c r="AN92" s="7">
        <f t="shared" si="91"/>
        <v>0</v>
      </c>
      <c r="AO92" s="7">
        <f t="shared" si="92"/>
        <v>0</v>
      </c>
      <c r="AP92" s="7">
        <f t="shared" si="93"/>
        <v>0</v>
      </c>
      <c r="AQ92" s="7" t="e">
        <f t="shared" si="94"/>
        <v>#VALUE!</v>
      </c>
      <c r="AR92" s="7" t="e">
        <f t="shared" si="95"/>
        <v>#VALUE!</v>
      </c>
      <c r="AS92" s="7" t="e">
        <f t="shared" si="96"/>
        <v>#VALUE!</v>
      </c>
      <c r="AT92" s="7" t="e">
        <f t="shared" si="97"/>
        <v>#VALUE!</v>
      </c>
      <c r="AU92" s="7" t="e">
        <f t="shared" si="98"/>
        <v>#VALUE!</v>
      </c>
      <c r="AV92" s="7" t="e">
        <f t="shared" si="99"/>
        <v>#VALUE!</v>
      </c>
      <c r="AW92" s="7" t="e">
        <f t="shared" si="100"/>
        <v>#VALUE!</v>
      </c>
      <c r="AX92" s="7" t="e">
        <f t="shared" si="101"/>
        <v>#VALUE!</v>
      </c>
      <c r="AY92" s="7" t="e">
        <f t="shared" si="102"/>
        <v>#VALUE!</v>
      </c>
      <c r="AZ92" s="7" t="e">
        <f t="shared" si="103"/>
        <v>#VALUE!</v>
      </c>
      <c r="BA92" s="7"/>
    </row>
    <row r="93" spans="16:53" x14ac:dyDescent="0.25">
      <c r="P93">
        <f t="shared" si="106"/>
        <v>45</v>
      </c>
      <c r="Q93">
        <f t="shared" si="104"/>
        <v>1800</v>
      </c>
      <c r="R93" s="7">
        <f t="shared" si="72"/>
        <v>-1.288052987971815</v>
      </c>
      <c r="S93" s="7">
        <f t="shared" si="73"/>
        <v>-1.3351768777756619</v>
      </c>
      <c r="T93" s="7">
        <f t="shared" si="74"/>
        <v>-1.1152653920243765</v>
      </c>
      <c r="U93" s="7">
        <f t="shared" si="75"/>
        <v>-1.0681415022205296</v>
      </c>
      <c r="V93" s="7">
        <f t="shared" si="76"/>
        <v>-1.8849555921538759</v>
      </c>
      <c r="W93" s="7">
        <f t="shared" si="77"/>
        <v>-1.8849555921538759</v>
      </c>
      <c r="X93" s="7" t="e">
        <f t="shared" si="78"/>
        <v>#VALUE!</v>
      </c>
      <c r="Y93" s="7" t="e">
        <f t="shared" si="79"/>
        <v>#VALUE!</v>
      </c>
      <c r="Z93" s="7" t="e">
        <f t="shared" si="80"/>
        <v>#VALUE!</v>
      </c>
      <c r="AA93" s="7" t="e">
        <f t="shared" si="81"/>
        <v>#VALUE!</v>
      </c>
      <c r="AB93" s="7" t="e">
        <f t="shared" si="82"/>
        <v>#VALUE!</v>
      </c>
      <c r="AC93" s="7" t="e">
        <f t="shared" si="83"/>
        <v>#VALUE!</v>
      </c>
      <c r="AD93" s="7" t="e">
        <f t="shared" si="84"/>
        <v>#VALUE!</v>
      </c>
      <c r="AE93" s="7" t="e">
        <f t="shared" si="85"/>
        <v>#VALUE!</v>
      </c>
      <c r="AF93" s="7" t="e">
        <f t="shared" si="86"/>
        <v>#VALUE!</v>
      </c>
      <c r="AG93" s="7" t="e">
        <f t="shared" si="87"/>
        <v>#VALUE!</v>
      </c>
      <c r="AH93" s="7">
        <f>$C$12</f>
        <v>3.183098861837907</v>
      </c>
      <c r="AJ93">
        <f t="shared" si="105"/>
        <v>1800</v>
      </c>
      <c r="AK93" s="7">
        <f t="shared" si="88"/>
        <v>0</v>
      </c>
      <c r="AL93" s="7">
        <f t="shared" si="89"/>
        <v>0</v>
      </c>
      <c r="AM93" s="7">
        <f t="shared" si="90"/>
        <v>0</v>
      </c>
      <c r="AN93" s="7">
        <f t="shared" si="91"/>
        <v>0</v>
      </c>
      <c r="AO93" s="7">
        <f t="shared" si="92"/>
        <v>0</v>
      </c>
      <c r="AP93" s="7">
        <f t="shared" si="93"/>
        <v>0</v>
      </c>
      <c r="AQ93" s="7" t="e">
        <f t="shared" si="94"/>
        <v>#VALUE!</v>
      </c>
      <c r="AR93" s="7" t="e">
        <f t="shared" si="95"/>
        <v>#VALUE!</v>
      </c>
      <c r="AS93" s="7" t="e">
        <f t="shared" si="96"/>
        <v>#VALUE!</v>
      </c>
      <c r="AT93" s="7" t="e">
        <f t="shared" si="97"/>
        <v>#VALUE!</v>
      </c>
      <c r="AU93" s="7" t="e">
        <f t="shared" si="98"/>
        <v>#VALUE!</v>
      </c>
      <c r="AV93" s="7" t="e">
        <f t="shared" si="99"/>
        <v>#VALUE!</v>
      </c>
      <c r="AW93" s="7" t="e">
        <f t="shared" si="100"/>
        <v>#VALUE!</v>
      </c>
      <c r="AX93" s="7" t="e">
        <f t="shared" si="101"/>
        <v>#VALUE!</v>
      </c>
      <c r="AY93" s="7" t="e">
        <f t="shared" si="102"/>
        <v>#VALUE!</v>
      </c>
      <c r="AZ93" s="7" t="e">
        <f t="shared" si="103"/>
        <v>#VALUE!</v>
      </c>
      <c r="BA93" s="7"/>
    </row>
    <row r="94" spans="16:53" x14ac:dyDescent="0.25">
      <c r="P94">
        <f t="shared" si="106"/>
        <v>45.5</v>
      </c>
      <c r="Q94">
        <f t="shared" si="104"/>
        <v>1820</v>
      </c>
      <c r="R94" s="7">
        <f t="shared" si="72"/>
        <v>-1.288052987971815</v>
      </c>
      <c r="S94" s="7">
        <f t="shared" si="73"/>
        <v>-1.3351768777756619</v>
      </c>
      <c r="T94" s="7">
        <f t="shared" si="74"/>
        <v>-1.1152653920243765</v>
      </c>
      <c r="U94" s="7">
        <f t="shared" si="75"/>
        <v>-1.0681415022205296</v>
      </c>
      <c r="V94" s="7">
        <f t="shared" si="76"/>
        <v>-1.8849555921538759</v>
      </c>
      <c r="W94" s="7">
        <f t="shared" si="77"/>
        <v>-1.8849555921538759</v>
      </c>
      <c r="X94" s="7" t="e">
        <f t="shared" si="78"/>
        <v>#VALUE!</v>
      </c>
      <c r="Y94" s="7" t="e">
        <f t="shared" si="79"/>
        <v>#VALUE!</v>
      </c>
      <c r="Z94" s="7" t="e">
        <f t="shared" si="80"/>
        <v>#VALUE!</v>
      </c>
      <c r="AA94" s="7" t="e">
        <f t="shared" si="81"/>
        <v>#VALUE!</v>
      </c>
      <c r="AB94" s="7" t="e">
        <f t="shared" si="82"/>
        <v>#VALUE!</v>
      </c>
      <c r="AC94" s="7" t="e">
        <f t="shared" si="83"/>
        <v>#VALUE!</v>
      </c>
      <c r="AD94" s="7" t="e">
        <f t="shared" si="84"/>
        <v>#VALUE!</v>
      </c>
      <c r="AE94" s="7" t="e">
        <f t="shared" si="85"/>
        <v>#VALUE!</v>
      </c>
      <c r="AF94" s="7" t="e">
        <f t="shared" si="86"/>
        <v>#VALUE!</v>
      </c>
      <c r="AG94" s="7" t="e">
        <f t="shared" si="87"/>
        <v>#VALUE!</v>
      </c>
      <c r="AH94" s="7">
        <f>$C$12</f>
        <v>3.183098861837907</v>
      </c>
      <c r="AJ94">
        <f t="shared" si="105"/>
        <v>1820</v>
      </c>
      <c r="AK94" s="7">
        <f t="shared" si="88"/>
        <v>0</v>
      </c>
      <c r="AL94" s="7">
        <f t="shared" si="89"/>
        <v>0</v>
      </c>
      <c r="AM94" s="7">
        <f t="shared" si="90"/>
        <v>0</v>
      </c>
      <c r="AN94" s="7">
        <f t="shared" si="91"/>
        <v>0</v>
      </c>
      <c r="AO94" s="7">
        <f t="shared" si="92"/>
        <v>0</v>
      </c>
      <c r="AP94" s="7">
        <f t="shared" si="93"/>
        <v>0</v>
      </c>
      <c r="AQ94" s="7" t="e">
        <f t="shared" si="94"/>
        <v>#VALUE!</v>
      </c>
      <c r="AR94" s="7" t="e">
        <f t="shared" si="95"/>
        <v>#VALUE!</v>
      </c>
      <c r="AS94" s="7" t="e">
        <f t="shared" si="96"/>
        <v>#VALUE!</v>
      </c>
      <c r="AT94" s="7" t="e">
        <f t="shared" si="97"/>
        <v>#VALUE!</v>
      </c>
      <c r="AU94" s="7" t="e">
        <f t="shared" si="98"/>
        <v>#VALUE!</v>
      </c>
      <c r="AV94" s="7" t="e">
        <f t="shared" si="99"/>
        <v>#VALUE!</v>
      </c>
      <c r="AW94" s="7" t="e">
        <f t="shared" si="100"/>
        <v>#VALUE!</v>
      </c>
      <c r="AX94" s="7" t="e">
        <f t="shared" si="101"/>
        <v>#VALUE!</v>
      </c>
      <c r="AY94" s="7" t="e">
        <f t="shared" si="102"/>
        <v>#VALUE!</v>
      </c>
      <c r="AZ94" s="7" t="e">
        <f t="shared" si="103"/>
        <v>#VALUE!</v>
      </c>
      <c r="BA94" s="7"/>
    </row>
    <row r="95" spans="16:53" x14ac:dyDescent="0.25">
      <c r="P95">
        <f t="shared" si="106"/>
        <v>46</v>
      </c>
      <c r="Q95">
        <f t="shared" si="104"/>
        <v>1840</v>
      </c>
      <c r="R95" s="7">
        <f t="shared" si="72"/>
        <v>-1.288052987971815</v>
      </c>
      <c r="S95" s="7">
        <f t="shared" si="73"/>
        <v>-1.3351768777756619</v>
      </c>
      <c r="T95" s="7">
        <f t="shared" si="74"/>
        <v>-1.1152653920243765</v>
      </c>
      <c r="U95" s="7">
        <f t="shared" si="75"/>
        <v>-1.0681415022205296</v>
      </c>
      <c r="V95" s="7">
        <f t="shared" si="76"/>
        <v>-1.8849555921538759</v>
      </c>
      <c r="W95" s="7">
        <f t="shared" si="77"/>
        <v>-1.8849555921538759</v>
      </c>
      <c r="X95" s="7" t="e">
        <f t="shared" si="78"/>
        <v>#VALUE!</v>
      </c>
      <c r="Y95" s="7" t="e">
        <f t="shared" si="79"/>
        <v>#VALUE!</v>
      </c>
      <c r="Z95" s="7" t="e">
        <f t="shared" si="80"/>
        <v>#VALUE!</v>
      </c>
      <c r="AA95" s="7" t="e">
        <f t="shared" si="81"/>
        <v>#VALUE!</v>
      </c>
      <c r="AB95" s="7" t="e">
        <f t="shared" si="82"/>
        <v>#VALUE!</v>
      </c>
      <c r="AC95" s="7" t="e">
        <f t="shared" si="83"/>
        <v>#VALUE!</v>
      </c>
      <c r="AD95" s="7" t="e">
        <f t="shared" si="84"/>
        <v>#VALUE!</v>
      </c>
      <c r="AE95" s="7" t="e">
        <f t="shared" si="85"/>
        <v>#VALUE!</v>
      </c>
      <c r="AF95" s="7" t="e">
        <f t="shared" si="86"/>
        <v>#VALUE!</v>
      </c>
      <c r="AG95" s="7" t="e">
        <f t="shared" si="87"/>
        <v>#VALUE!</v>
      </c>
      <c r="AH95" s="7">
        <f>$C$12</f>
        <v>3.183098861837907</v>
      </c>
      <c r="AJ95">
        <f t="shared" si="105"/>
        <v>1840</v>
      </c>
      <c r="AK95" s="7">
        <f t="shared" si="88"/>
        <v>0</v>
      </c>
      <c r="AL95" s="7">
        <f t="shared" si="89"/>
        <v>0</v>
      </c>
      <c r="AM95" s="7">
        <f t="shared" si="90"/>
        <v>0</v>
      </c>
      <c r="AN95" s="7">
        <f t="shared" si="91"/>
        <v>0</v>
      </c>
      <c r="AO95" s="7">
        <f t="shared" si="92"/>
        <v>0</v>
      </c>
      <c r="AP95" s="7">
        <f t="shared" si="93"/>
        <v>0</v>
      </c>
      <c r="AQ95" s="7" t="e">
        <f t="shared" si="94"/>
        <v>#VALUE!</v>
      </c>
      <c r="AR95" s="7" t="e">
        <f t="shared" si="95"/>
        <v>#VALUE!</v>
      </c>
      <c r="AS95" s="7" t="e">
        <f t="shared" si="96"/>
        <v>#VALUE!</v>
      </c>
      <c r="AT95" s="7" t="e">
        <f t="shared" si="97"/>
        <v>#VALUE!</v>
      </c>
      <c r="AU95" s="7" t="e">
        <f t="shared" si="98"/>
        <v>#VALUE!</v>
      </c>
      <c r="AV95" s="7" t="e">
        <f t="shared" si="99"/>
        <v>#VALUE!</v>
      </c>
      <c r="AW95" s="7" t="e">
        <f t="shared" si="100"/>
        <v>#VALUE!</v>
      </c>
      <c r="AX95" s="7" t="e">
        <f t="shared" si="101"/>
        <v>#VALUE!</v>
      </c>
      <c r="AY95" s="7" t="e">
        <f t="shared" si="102"/>
        <v>#VALUE!</v>
      </c>
      <c r="AZ95" s="7" t="e">
        <f t="shared" si="103"/>
        <v>#VALUE!</v>
      </c>
      <c r="BA95" s="7"/>
    </row>
    <row r="96" spans="16:53" x14ac:dyDescent="0.25">
      <c r="P96">
        <f t="shared" si="106"/>
        <v>46.5</v>
      </c>
      <c r="Q96">
        <f t="shared" si="104"/>
        <v>1860</v>
      </c>
      <c r="R96" s="7">
        <f t="shared" si="72"/>
        <v>-1.288052987971815</v>
      </c>
      <c r="S96" s="7">
        <f t="shared" si="73"/>
        <v>-1.3351768777756619</v>
      </c>
      <c r="T96" s="7">
        <f t="shared" si="74"/>
        <v>-1.1152653920243765</v>
      </c>
      <c r="U96" s="7">
        <f t="shared" si="75"/>
        <v>-1.0681415022205296</v>
      </c>
      <c r="V96" s="7">
        <f t="shared" si="76"/>
        <v>-1.8849555921538759</v>
      </c>
      <c r="W96" s="7">
        <f t="shared" si="77"/>
        <v>-1.8849555921538759</v>
      </c>
      <c r="X96" s="7" t="e">
        <f t="shared" si="78"/>
        <v>#VALUE!</v>
      </c>
      <c r="Y96" s="7" t="e">
        <f t="shared" si="79"/>
        <v>#VALUE!</v>
      </c>
      <c r="Z96" s="7" t="e">
        <f t="shared" si="80"/>
        <v>#VALUE!</v>
      </c>
      <c r="AA96" s="7" t="e">
        <f t="shared" si="81"/>
        <v>#VALUE!</v>
      </c>
      <c r="AB96" s="7" t="e">
        <f t="shared" si="82"/>
        <v>#VALUE!</v>
      </c>
      <c r="AC96" s="7" t="e">
        <f t="shared" si="83"/>
        <v>#VALUE!</v>
      </c>
      <c r="AD96" s="7" t="e">
        <f t="shared" si="84"/>
        <v>#VALUE!</v>
      </c>
      <c r="AE96" s="7" t="e">
        <f t="shared" si="85"/>
        <v>#VALUE!</v>
      </c>
      <c r="AF96" s="7" t="e">
        <f t="shared" si="86"/>
        <v>#VALUE!</v>
      </c>
      <c r="AG96" s="7" t="e">
        <f t="shared" si="87"/>
        <v>#VALUE!</v>
      </c>
      <c r="AH96" s="7">
        <f>$C$12</f>
        <v>3.183098861837907</v>
      </c>
      <c r="AJ96">
        <f t="shared" si="105"/>
        <v>1860</v>
      </c>
      <c r="AK96" s="7">
        <f t="shared" si="88"/>
        <v>0</v>
      </c>
      <c r="AL96" s="7">
        <f t="shared" si="89"/>
        <v>0</v>
      </c>
      <c r="AM96" s="7">
        <f t="shared" si="90"/>
        <v>0</v>
      </c>
      <c r="AN96" s="7">
        <f t="shared" si="91"/>
        <v>0</v>
      </c>
      <c r="AO96" s="7">
        <f t="shared" si="92"/>
        <v>0</v>
      </c>
      <c r="AP96" s="7">
        <f t="shared" si="93"/>
        <v>0</v>
      </c>
      <c r="AQ96" s="7" t="e">
        <f t="shared" si="94"/>
        <v>#VALUE!</v>
      </c>
      <c r="AR96" s="7" t="e">
        <f t="shared" si="95"/>
        <v>#VALUE!</v>
      </c>
      <c r="AS96" s="7" t="e">
        <f t="shared" si="96"/>
        <v>#VALUE!</v>
      </c>
      <c r="AT96" s="7" t="e">
        <f t="shared" si="97"/>
        <v>#VALUE!</v>
      </c>
      <c r="AU96" s="7" t="e">
        <f t="shared" si="98"/>
        <v>#VALUE!</v>
      </c>
      <c r="AV96" s="7" t="e">
        <f t="shared" si="99"/>
        <v>#VALUE!</v>
      </c>
      <c r="AW96" s="7" t="e">
        <f t="shared" si="100"/>
        <v>#VALUE!</v>
      </c>
      <c r="AX96" s="7" t="e">
        <f t="shared" si="101"/>
        <v>#VALUE!</v>
      </c>
      <c r="AY96" s="7" t="e">
        <f t="shared" si="102"/>
        <v>#VALUE!</v>
      </c>
      <c r="AZ96" s="7" t="e">
        <f t="shared" si="103"/>
        <v>#VALUE!</v>
      </c>
      <c r="BA96" s="7"/>
    </row>
    <row r="97" spans="16:53" x14ac:dyDescent="0.25">
      <c r="P97">
        <f t="shared" si="106"/>
        <v>47</v>
      </c>
      <c r="Q97">
        <f t="shared" si="104"/>
        <v>1880</v>
      </c>
      <c r="R97" s="7">
        <f t="shared" si="72"/>
        <v>-1.288052987971815</v>
      </c>
      <c r="S97" s="7">
        <f t="shared" si="73"/>
        <v>-1.3351768777756619</v>
      </c>
      <c r="T97" s="7">
        <f t="shared" si="74"/>
        <v>-1.1152653920243765</v>
      </c>
      <c r="U97" s="7">
        <f t="shared" si="75"/>
        <v>-1.0681415022205296</v>
      </c>
      <c r="V97" s="7">
        <f t="shared" si="76"/>
        <v>-1.8849555921538759</v>
      </c>
      <c r="W97" s="7">
        <f t="shared" si="77"/>
        <v>-1.8849555921538759</v>
      </c>
      <c r="X97" s="7" t="e">
        <f t="shared" si="78"/>
        <v>#VALUE!</v>
      </c>
      <c r="Y97" s="7" t="e">
        <f t="shared" si="79"/>
        <v>#VALUE!</v>
      </c>
      <c r="Z97" s="7" t="e">
        <f t="shared" si="80"/>
        <v>#VALUE!</v>
      </c>
      <c r="AA97" s="7" t="e">
        <f t="shared" si="81"/>
        <v>#VALUE!</v>
      </c>
      <c r="AB97" s="7" t="e">
        <f t="shared" si="82"/>
        <v>#VALUE!</v>
      </c>
      <c r="AC97" s="7" t="e">
        <f t="shared" si="83"/>
        <v>#VALUE!</v>
      </c>
      <c r="AD97" s="7" t="e">
        <f t="shared" si="84"/>
        <v>#VALUE!</v>
      </c>
      <c r="AE97" s="7" t="e">
        <f t="shared" si="85"/>
        <v>#VALUE!</v>
      </c>
      <c r="AF97" s="7" t="e">
        <f t="shared" si="86"/>
        <v>#VALUE!</v>
      </c>
      <c r="AG97" s="7" t="e">
        <f t="shared" si="87"/>
        <v>#VALUE!</v>
      </c>
      <c r="AH97" s="7">
        <f>$C$12</f>
        <v>3.183098861837907</v>
      </c>
      <c r="AJ97">
        <f t="shared" si="105"/>
        <v>1880</v>
      </c>
      <c r="AK97" s="7">
        <f t="shared" si="88"/>
        <v>0</v>
      </c>
      <c r="AL97" s="7">
        <f t="shared" si="89"/>
        <v>0</v>
      </c>
      <c r="AM97" s="7">
        <f t="shared" si="90"/>
        <v>0</v>
      </c>
      <c r="AN97" s="7">
        <f t="shared" si="91"/>
        <v>0</v>
      </c>
      <c r="AO97" s="7">
        <f t="shared" si="92"/>
        <v>0</v>
      </c>
      <c r="AP97" s="7">
        <f t="shared" si="93"/>
        <v>0</v>
      </c>
      <c r="AQ97" s="7" t="e">
        <f t="shared" si="94"/>
        <v>#VALUE!</v>
      </c>
      <c r="AR97" s="7" t="e">
        <f t="shared" si="95"/>
        <v>#VALUE!</v>
      </c>
      <c r="AS97" s="7" t="e">
        <f t="shared" si="96"/>
        <v>#VALUE!</v>
      </c>
      <c r="AT97" s="7" t="e">
        <f t="shared" si="97"/>
        <v>#VALUE!</v>
      </c>
      <c r="AU97" s="7" t="e">
        <f t="shared" si="98"/>
        <v>#VALUE!</v>
      </c>
      <c r="AV97" s="7" t="e">
        <f t="shared" si="99"/>
        <v>#VALUE!</v>
      </c>
      <c r="AW97" s="7" t="e">
        <f t="shared" si="100"/>
        <v>#VALUE!</v>
      </c>
      <c r="AX97" s="7" t="e">
        <f t="shared" si="101"/>
        <v>#VALUE!</v>
      </c>
      <c r="AY97" s="7" t="e">
        <f t="shared" si="102"/>
        <v>#VALUE!</v>
      </c>
      <c r="AZ97" s="7" t="e">
        <f t="shared" si="103"/>
        <v>#VALUE!</v>
      </c>
      <c r="BA97" s="7"/>
    </row>
    <row r="98" spans="16:53" x14ac:dyDescent="0.25">
      <c r="P98">
        <f t="shared" si="106"/>
        <v>47.5</v>
      </c>
      <c r="Q98">
        <f t="shared" si="104"/>
        <v>1900</v>
      </c>
      <c r="R98" s="7">
        <f t="shared" si="72"/>
        <v>-1.288052987971815</v>
      </c>
      <c r="S98" s="7">
        <f t="shared" si="73"/>
        <v>-1.3351768777756619</v>
      </c>
      <c r="T98" s="7">
        <f t="shared" si="74"/>
        <v>-1.1152653920243765</v>
      </c>
      <c r="U98" s="7">
        <f t="shared" si="75"/>
        <v>-1.0681415022205296</v>
      </c>
      <c r="V98" s="7">
        <f t="shared" si="76"/>
        <v>-1.8849555921538759</v>
      </c>
      <c r="W98" s="7">
        <f t="shared" si="77"/>
        <v>-1.8849555921538759</v>
      </c>
      <c r="X98" s="7" t="e">
        <f t="shared" si="78"/>
        <v>#VALUE!</v>
      </c>
      <c r="Y98" s="7" t="e">
        <f t="shared" si="79"/>
        <v>#VALUE!</v>
      </c>
      <c r="Z98" s="7" t="e">
        <f t="shared" si="80"/>
        <v>#VALUE!</v>
      </c>
      <c r="AA98" s="7" t="e">
        <f t="shared" si="81"/>
        <v>#VALUE!</v>
      </c>
      <c r="AB98" s="7" t="e">
        <f t="shared" si="82"/>
        <v>#VALUE!</v>
      </c>
      <c r="AC98" s="7" t="e">
        <f t="shared" si="83"/>
        <v>#VALUE!</v>
      </c>
      <c r="AD98" s="7" t="e">
        <f t="shared" si="84"/>
        <v>#VALUE!</v>
      </c>
      <c r="AE98" s="7" t="e">
        <f t="shared" si="85"/>
        <v>#VALUE!</v>
      </c>
      <c r="AF98" s="7" t="e">
        <f t="shared" si="86"/>
        <v>#VALUE!</v>
      </c>
      <c r="AG98" s="7" t="e">
        <f t="shared" si="87"/>
        <v>#VALUE!</v>
      </c>
      <c r="AH98" s="7">
        <f>$C$12</f>
        <v>3.183098861837907</v>
      </c>
      <c r="AJ98">
        <f t="shared" si="105"/>
        <v>1900</v>
      </c>
      <c r="AK98" s="7">
        <f t="shared" si="88"/>
        <v>0</v>
      </c>
      <c r="AL98" s="7">
        <f t="shared" si="89"/>
        <v>0</v>
      </c>
      <c r="AM98" s="7">
        <f t="shared" si="90"/>
        <v>0</v>
      </c>
      <c r="AN98" s="7">
        <f t="shared" si="91"/>
        <v>0</v>
      </c>
      <c r="AO98" s="7">
        <f t="shared" si="92"/>
        <v>0</v>
      </c>
      <c r="AP98" s="7">
        <f t="shared" si="93"/>
        <v>0</v>
      </c>
      <c r="AQ98" s="7" t="e">
        <f t="shared" si="94"/>
        <v>#VALUE!</v>
      </c>
      <c r="AR98" s="7" t="e">
        <f t="shared" si="95"/>
        <v>#VALUE!</v>
      </c>
      <c r="AS98" s="7" t="e">
        <f t="shared" si="96"/>
        <v>#VALUE!</v>
      </c>
      <c r="AT98" s="7" t="e">
        <f t="shared" si="97"/>
        <v>#VALUE!</v>
      </c>
      <c r="AU98" s="7" t="e">
        <f t="shared" si="98"/>
        <v>#VALUE!</v>
      </c>
      <c r="AV98" s="7" t="e">
        <f t="shared" si="99"/>
        <v>#VALUE!</v>
      </c>
      <c r="AW98" s="7" t="e">
        <f t="shared" si="100"/>
        <v>#VALUE!</v>
      </c>
      <c r="AX98" s="7" t="e">
        <f t="shared" si="101"/>
        <v>#VALUE!</v>
      </c>
      <c r="AY98" s="7" t="e">
        <f t="shared" si="102"/>
        <v>#VALUE!</v>
      </c>
      <c r="AZ98" s="7" t="e">
        <f t="shared" si="103"/>
        <v>#VALUE!</v>
      </c>
      <c r="BA98" s="7"/>
    </row>
    <row r="99" spans="16:53" x14ac:dyDescent="0.25">
      <c r="P99">
        <f t="shared" si="106"/>
        <v>48</v>
      </c>
      <c r="Q99">
        <f t="shared" si="104"/>
        <v>1920</v>
      </c>
      <c r="R99" s="7">
        <f t="shared" si="72"/>
        <v>-1.288052987971815</v>
      </c>
      <c r="S99" s="7">
        <f t="shared" si="73"/>
        <v>-1.3351768777756619</v>
      </c>
      <c r="T99" s="7">
        <f t="shared" si="74"/>
        <v>-1.1152653920243765</v>
      </c>
      <c r="U99" s="7">
        <f t="shared" si="75"/>
        <v>-1.0681415022205296</v>
      </c>
      <c r="V99" s="7">
        <f t="shared" si="76"/>
        <v>-1.8849555921538759</v>
      </c>
      <c r="W99" s="7">
        <f t="shared" si="77"/>
        <v>-1.8849555921538759</v>
      </c>
      <c r="X99" s="7" t="e">
        <f t="shared" si="78"/>
        <v>#VALUE!</v>
      </c>
      <c r="Y99" s="7" t="e">
        <f t="shared" si="79"/>
        <v>#VALUE!</v>
      </c>
      <c r="Z99" s="7" t="e">
        <f t="shared" si="80"/>
        <v>#VALUE!</v>
      </c>
      <c r="AA99" s="7" t="e">
        <f t="shared" si="81"/>
        <v>#VALUE!</v>
      </c>
      <c r="AB99" s="7" t="e">
        <f t="shared" si="82"/>
        <v>#VALUE!</v>
      </c>
      <c r="AC99" s="7" t="e">
        <f t="shared" si="83"/>
        <v>#VALUE!</v>
      </c>
      <c r="AD99" s="7" t="e">
        <f t="shared" si="84"/>
        <v>#VALUE!</v>
      </c>
      <c r="AE99" s="7" t="e">
        <f t="shared" si="85"/>
        <v>#VALUE!</v>
      </c>
      <c r="AF99" s="7" t="e">
        <f t="shared" si="86"/>
        <v>#VALUE!</v>
      </c>
      <c r="AG99" s="7" t="e">
        <f t="shared" si="87"/>
        <v>#VALUE!</v>
      </c>
      <c r="AH99" s="7">
        <f>$C$12</f>
        <v>3.183098861837907</v>
      </c>
      <c r="AJ99">
        <f t="shared" si="105"/>
        <v>1920</v>
      </c>
      <c r="AK99" s="7">
        <f t="shared" si="88"/>
        <v>0</v>
      </c>
      <c r="AL99" s="7">
        <f t="shared" si="89"/>
        <v>0</v>
      </c>
      <c r="AM99" s="7">
        <f t="shared" si="90"/>
        <v>0</v>
      </c>
      <c r="AN99" s="7">
        <f t="shared" si="91"/>
        <v>0</v>
      </c>
      <c r="AO99" s="7">
        <f t="shared" si="92"/>
        <v>0</v>
      </c>
      <c r="AP99" s="7">
        <f t="shared" si="93"/>
        <v>0</v>
      </c>
      <c r="AQ99" s="7" t="e">
        <f t="shared" si="94"/>
        <v>#VALUE!</v>
      </c>
      <c r="AR99" s="7" t="e">
        <f t="shared" si="95"/>
        <v>#VALUE!</v>
      </c>
      <c r="AS99" s="7" t="e">
        <f t="shared" si="96"/>
        <v>#VALUE!</v>
      </c>
      <c r="AT99" s="7" t="e">
        <f t="shared" si="97"/>
        <v>#VALUE!</v>
      </c>
      <c r="AU99" s="7" t="e">
        <f t="shared" si="98"/>
        <v>#VALUE!</v>
      </c>
      <c r="AV99" s="7" t="e">
        <f t="shared" si="99"/>
        <v>#VALUE!</v>
      </c>
      <c r="AW99" s="7" t="e">
        <f t="shared" si="100"/>
        <v>#VALUE!</v>
      </c>
      <c r="AX99" s="7" t="e">
        <f t="shared" si="101"/>
        <v>#VALUE!</v>
      </c>
      <c r="AY99" s="7" t="e">
        <f t="shared" si="102"/>
        <v>#VALUE!</v>
      </c>
      <c r="AZ99" s="7" t="e">
        <f t="shared" si="103"/>
        <v>#VALUE!</v>
      </c>
      <c r="BA99" s="7"/>
    </row>
    <row r="100" spans="16:53" x14ac:dyDescent="0.25">
      <c r="P100">
        <f t="shared" si="106"/>
        <v>48.5</v>
      </c>
      <c r="Q100">
        <f t="shared" si="104"/>
        <v>1940</v>
      </c>
      <c r="R100" s="7">
        <f t="shared" si="72"/>
        <v>-1.288052987971815</v>
      </c>
      <c r="S100" s="7">
        <f t="shared" si="73"/>
        <v>-1.3351768777756619</v>
      </c>
      <c r="T100" s="7">
        <f t="shared" si="74"/>
        <v>-1.1152653920243765</v>
      </c>
      <c r="U100" s="7">
        <f t="shared" si="75"/>
        <v>-1.0681415022205296</v>
      </c>
      <c r="V100" s="7">
        <f t="shared" si="76"/>
        <v>-1.8849555921538759</v>
      </c>
      <c r="W100" s="7">
        <f t="shared" si="77"/>
        <v>-1.8849555921538759</v>
      </c>
      <c r="X100" s="7" t="e">
        <f t="shared" si="78"/>
        <v>#VALUE!</v>
      </c>
      <c r="Y100" s="7" t="e">
        <f t="shared" si="79"/>
        <v>#VALUE!</v>
      </c>
      <c r="Z100" s="7" t="e">
        <f t="shared" si="80"/>
        <v>#VALUE!</v>
      </c>
      <c r="AA100" s="7" t="e">
        <f t="shared" si="81"/>
        <v>#VALUE!</v>
      </c>
      <c r="AB100" s="7" t="e">
        <f t="shared" si="82"/>
        <v>#VALUE!</v>
      </c>
      <c r="AC100" s="7" t="e">
        <f t="shared" si="83"/>
        <v>#VALUE!</v>
      </c>
      <c r="AD100" s="7" t="e">
        <f t="shared" si="84"/>
        <v>#VALUE!</v>
      </c>
      <c r="AE100" s="7" t="e">
        <f t="shared" si="85"/>
        <v>#VALUE!</v>
      </c>
      <c r="AF100" s="7" t="e">
        <f t="shared" si="86"/>
        <v>#VALUE!</v>
      </c>
      <c r="AG100" s="7" t="e">
        <f t="shared" si="87"/>
        <v>#VALUE!</v>
      </c>
      <c r="AH100" s="7">
        <f>$C$12</f>
        <v>3.183098861837907</v>
      </c>
      <c r="AJ100">
        <f t="shared" si="105"/>
        <v>1940</v>
      </c>
      <c r="AK100" s="7">
        <f t="shared" si="88"/>
        <v>0</v>
      </c>
      <c r="AL100" s="7">
        <f t="shared" si="89"/>
        <v>0</v>
      </c>
      <c r="AM100" s="7">
        <f t="shared" si="90"/>
        <v>0</v>
      </c>
      <c r="AN100" s="7">
        <f t="shared" si="91"/>
        <v>0</v>
      </c>
      <c r="AO100" s="7">
        <f t="shared" si="92"/>
        <v>0</v>
      </c>
      <c r="AP100" s="7">
        <f t="shared" si="93"/>
        <v>0</v>
      </c>
      <c r="AQ100" s="7" t="e">
        <f t="shared" si="94"/>
        <v>#VALUE!</v>
      </c>
      <c r="AR100" s="7" t="e">
        <f t="shared" si="95"/>
        <v>#VALUE!</v>
      </c>
      <c r="AS100" s="7" t="e">
        <f t="shared" si="96"/>
        <v>#VALUE!</v>
      </c>
      <c r="AT100" s="7" t="e">
        <f t="shared" si="97"/>
        <v>#VALUE!</v>
      </c>
      <c r="AU100" s="7" t="e">
        <f t="shared" si="98"/>
        <v>#VALUE!</v>
      </c>
      <c r="AV100" s="7" t="e">
        <f t="shared" si="99"/>
        <v>#VALUE!</v>
      </c>
      <c r="AW100" s="7" t="e">
        <f t="shared" si="100"/>
        <v>#VALUE!</v>
      </c>
      <c r="AX100" s="7" t="e">
        <f t="shared" si="101"/>
        <v>#VALUE!</v>
      </c>
      <c r="AY100" s="7" t="e">
        <f t="shared" si="102"/>
        <v>#VALUE!</v>
      </c>
      <c r="AZ100" s="7" t="e">
        <f t="shared" si="103"/>
        <v>#VALUE!</v>
      </c>
      <c r="BA100" s="7"/>
    </row>
    <row r="101" spans="16:53" x14ac:dyDescent="0.25">
      <c r="P101">
        <f t="shared" si="106"/>
        <v>49</v>
      </c>
      <c r="Q101">
        <f t="shared" si="104"/>
        <v>1960</v>
      </c>
      <c r="R101" s="7">
        <f t="shared" si="72"/>
        <v>-1.288052987971815</v>
      </c>
      <c r="S101" s="7">
        <f t="shared" si="73"/>
        <v>-1.3351768777756619</v>
      </c>
      <c r="T101" s="7">
        <f t="shared" si="74"/>
        <v>-1.1152653920243765</v>
      </c>
      <c r="U101" s="7">
        <f t="shared" si="75"/>
        <v>-1.0681415022205296</v>
      </c>
      <c r="V101" s="7">
        <f t="shared" si="76"/>
        <v>-1.8849555921538759</v>
      </c>
      <c r="W101" s="7">
        <f t="shared" si="77"/>
        <v>-1.8849555921538759</v>
      </c>
      <c r="X101" s="7" t="e">
        <f t="shared" si="78"/>
        <v>#VALUE!</v>
      </c>
      <c r="Y101" s="7" t="e">
        <f t="shared" si="79"/>
        <v>#VALUE!</v>
      </c>
      <c r="Z101" s="7" t="e">
        <f t="shared" si="80"/>
        <v>#VALUE!</v>
      </c>
      <c r="AA101" s="7" t="e">
        <f t="shared" si="81"/>
        <v>#VALUE!</v>
      </c>
      <c r="AB101" s="7" t="e">
        <f t="shared" si="82"/>
        <v>#VALUE!</v>
      </c>
      <c r="AC101" s="7" t="e">
        <f t="shared" si="83"/>
        <v>#VALUE!</v>
      </c>
      <c r="AD101" s="7" t="e">
        <f t="shared" si="84"/>
        <v>#VALUE!</v>
      </c>
      <c r="AE101" s="7" t="e">
        <f t="shared" si="85"/>
        <v>#VALUE!</v>
      </c>
      <c r="AF101" s="7" t="e">
        <f t="shared" si="86"/>
        <v>#VALUE!</v>
      </c>
      <c r="AG101" s="7" t="e">
        <f t="shared" si="87"/>
        <v>#VALUE!</v>
      </c>
      <c r="AH101" s="7">
        <f>$C$12</f>
        <v>3.183098861837907</v>
      </c>
      <c r="AJ101">
        <f t="shared" si="105"/>
        <v>1960</v>
      </c>
      <c r="AK101" s="7">
        <f t="shared" si="88"/>
        <v>0</v>
      </c>
      <c r="AL101" s="7">
        <f t="shared" si="89"/>
        <v>0</v>
      </c>
      <c r="AM101" s="7">
        <f t="shared" si="90"/>
        <v>0</v>
      </c>
      <c r="AN101" s="7">
        <f t="shared" si="91"/>
        <v>0</v>
      </c>
      <c r="AO101" s="7">
        <f t="shared" si="92"/>
        <v>0</v>
      </c>
      <c r="AP101" s="7">
        <f t="shared" si="93"/>
        <v>0</v>
      </c>
      <c r="AQ101" s="7" t="e">
        <f t="shared" si="94"/>
        <v>#VALUE!</v>
      </c>
      <c r="AR101" s="7" t="e">
        <f t="shared" si="95"/>
        <v>#VALUE!</v>
      </c>
      <c r="AS101" s="7" t="e">
        <f t="shared" si="96"/>
        <v>#VALUE!</v>
      </c>
      <c r="AT101" s="7" t="e">
        <f t="shared" si="97"/>
        <v>#VALUE!</v>
      </c>
      <c r="AU101" s="7" t="e">
        <f t="shared" si="98"/>
        <v>#VALUE!</v>
      </c>
      <c r="AV101" s="7" t="e">
        <f t="shared" si="99"/>
        <v>#VALUE!</v>
      </c>
      <c r="AW101" s="7" t="e">
        <f t="shared" si="100"/>
        <v>#VALUE!</v>
      </c>
      <c r="AX101" s="7" t="e">
        <f t="shared" si="101"/>
        <v>#VALUE!</v>
      </c>
      <c r="AY101" s="7" t="e">
        <f t="shared" si="102"/>
        <v>#VALUE!</v>
      </c>
      <c r="AZ101" s="7" t="e">
        <f t="shared" si="103"/>
        <v>#VALUE!</v>
      </c>
      <c r="BA101" s="7"/>
    </row>
    <row r="102" spans="16:53" x14ac:dyDescent="0.25">
      <c r="P102">
        <f t="shared" si="106"/>
        <v>49.5</v>
      </c>
      <c r="Q102">
        <f t="shared" si="104"/>
        <v>1980</v>
      </c>
      <c r="R102" s="7">
        <f t="shared" si="72"/>
        <v>-1.288052987971815</v>
      </c>
      <c r="S102" s="7">
        <f t="shared" si="73"/>
        <v>-1.3351768777756619</v>
      </c>
      <c r="T102" s="7">
        <f t="shared" si="74"/>
        <v>-1.1152653920243765</v>
      </c>
      <c r="U102" s="7">
        <f t="shared" si="75"/>
        <v>-1.0681415022205296</v>
      </c>
      <c r="V102" s="7">
        <f t="shared" si="76"/>
        <v>-1.8849555921538759</v>
      </c>
      <c r="W102" s="7">
        <f t="shared" si="77"/>
        <v>-1.8849555921538759</v>
      </c>
      <c r="X102" s="7" t="e">
        <f t="shared" si="78"/>
        <v>#VALUE!</v>
      </c>
      <c r="Y102" s="7" t="e">
        <f t="shared" si="79"/>
        <v>#VALUE!</v>
      </c>
      <c r="Z102" s="7" t="e">
        <f t="shared" si="80"/>
        <v>#VALUE!</v>
      </c>
      <c r="AA102" s="7" t="e">
        <f t="shared" si="81"/>
        <v>#VALUE!</v>
      </c>
      <c r="AB102" s="7" t="e">
        <f t="shared" si="82"/>
        <v>#VALUE!</v>
      </c>
      <c r="AC102" s="7" t="e">
        <f t="shared" si="83"/>
        <v>#VALUE!</v>
      </c>
      <c r="AD102" s="7" t="e">
        <f t="shared" si="84"/>
        <v>#VALUE!</v>
      </c>
      <c r="AE102" s="7" t="e">
        <f t="shared" si="85"/>
        <v>#VALUE!</v>
      </c>
      <c r="AF102" s="7" t="e">
        <f t="shared" si="86"/>
        <v>#VALUE!</v>
      </c>
      <c r="AG102" s="7" t="e">
        <f t="shared" si="87"/>
        <v>#VALUE!</v>
      </c>
      <c r="AH102" s="7">
        <f>$C$12</f>
        <v>3.183098861837907</v>
      </c>
      <c r="AJ102">
        <f t="shared" si="105"/>
        <v>1980</v>
      </c>
      <c r="AK102" s="7">
        <f t="shared" si="88"/>
        <v>0</v>
      </c>
      <c r="AL102" s="7">
        <f t="shared" si="89"/>
        <v>0</v>
      </c>
      <c r="AM102" s="7">
        <f t="shared" si="90"/>
        <v>0</v>
      </c>
      <c r="AN102" s="7">
        <f t="shared" si="91"/>
        <v>0</v>
      </c>
      <c r="AO102" s="7">
        <f t="shared" si="92"/>
        <v>0</v>
      </c>
      <c r="AP102" s="7">
        <f t="shared" si="93"/>
        <v>0</v>
      </c>
      <c r="AQ102" s="7" t="e">
        <f t="shared" si="94"/>
        <v>#VALUE!</v>
      </c>
      <c r="AR102" s="7" t="e">
        <f t="shared" si="95"/>
        <v>#VALUE!</v>
      </c>
      <c r="AS102" s="7" t="e">
        <f t="shared" si="96"/>
        <v>#VALUE!</v>
      </c>
      <c r="AT102" s="7" t="e">
        <f t="shared" si="97"/>
        <v>#VALUE!</v>
      </c>
      <c r="AU102" s="7" t="e">
        <f t="shared" si="98"/>
        <v>#VALUE!</v>
      </c>
      <c r="AV102" s="7" t="e">
        <f t="shared" si="99"/>
        <v>#VALUE!</v>
      </c>
      <c r="AW102" s="7" t="e">
        <f t="shared" si="100"/>
        <v>#VALUE!</v>
      </c>
      <c r="AX102" s="7" t="e">
        <f t="shared" si="101"/>
        <v>#VALUE!</v>
      </c>
      <c r="AY102" s="7" t="e">
        <f t="shared" si="102"/>
        <v>#VALUE!</v>
      </c>
      <c r="AZ102" s="7" t="e">
        <f t="shared" si="103"/>
        <v>#VALUE!</v>
      </c>
      <c r="BA102" s="7"/>
    </row>
    <row r="103" spans="16:53" x14ac:dyDescent="0.25">
      <c r="P103" s="7"/>
    </row>
    <row r="104" spans="16:53" x14ac:dyDescent="0.25">
      <c r="P104" s="7"/>
    </row>
    <row r="105" spans="16:53" x14ac:dyDescent="0.25">
      <c r="P105" s="7"/>
    </row>
    <row r="106" spans="16:53" x14ac:dyDescent="0.25">
      <c r="P106" s="7"/>
    </row>
    <row r="107" spans="16:53" x14ac:dyDescent="0.25">
      <c r="P107" s="7"/>
    </row>
    <row r="108" spans="16:53" x14ac:dyDescent="0.25">
      <c r="P108" s="7"/>
    </row>
    <row r="109" spans="16:53" x14ac:dyDescent="0.25">
      <c r="P109" s="7"/>
    </row>
    <row r="110" spans="16:53" x14ac:dyDescent="0.25">
      <c r="P110" s="7"/>
    </row>
    <row r="111" spans="16:53" x14ac:dyDescent="0.25">
      <c r="P111" s="7"/>
    </row>
    <row r="112" spans="16:53" x14ac:dyDescent="0.25">
      <c r="P112" s="7"/>
    </row>
    <row r="113" spans="16:16" x14ac:dyDescent="0.25">
      <c r="P113" s="7"/>
    </row>
    <row r="114" spans="16:16" x14ac:dyDescent="0.25">
      <c r="P114" s="7"/>
    </row>
    <row r="115" spans="16:16" x14ac:dyDescent="0.25">
      <c r="P115" s="7"/>
    </row>
    <row r="116" spans="16:16" x14ac:dyDescent="0.25">
      <c r="P116" s="7"/>
    </row>
    <row r="117" spans="16:16" x14ac:dyDescent="0.25">
      <c r="P117" s="7"/>
    </row>
    <row r="118" spans="16:16" x14ac:dyDescent="0.25">
      <c r="P118" s="7"/>
    </row>
    <row r="119" spans="16:16" x14ac:dyDescent="0.25">
      <c r="P119" s="7"/>
    </row>
    <row r="120" spans="16:16" x14ac:dyDescent="0.25">
      <c r="P120" s="7"/>
    </row>
    <row r="121" spans="16:16" x14ac:dyDescent="0.25">
      <c r="P121" s="7"/>
    </row>
    <row r="122" spans="16:16" x14ac:dyDescent="0.25">
      <c r="P122" s="7"/>
    </row>
    <row r="123" spans="16:16" x14ac:dyDescent="0.25">
      <c r="P123" s="7"/>
    </row>
    <row r="124" spans="16:16" x14ac:dyDescent="0.25">
      <c r="P124" s="7"/>
    </row>
    <row r="125" spans="16:16" x14ac:dyDescent="0.25">
      <c r="P125" s="7"/>
    </row>
    <row r="126" spans="16:16" x14ac:dyDescent="0.25">
      <c r="P126" s="7"/>
    </row>
    <row r="127" spans="16:16" x14ac:dyDescent="0.25">
      <c r="P127" s="7"/>
    </row>
    <row r="128" spans="16:16" x14ac:dyDescent="0.25">
      <c r="P128" s="7"/>
    </row>
    <row r="129" spans="3:16" x14ac:dyDescent="0.25">
      <c r="P129" s="7"/>
    </row>
    <row r="130" spans="3:16" x14ac:dyDescent="0.2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8"/>
  <sheetViews>
    <sheetView workbookViewId="0">
      <selection activeCell="A48" sqref="A48"/>
    </sheetView>
  </sheetViews>
  <sheetFormatPr defaultColWidth="11.42578125" defaultRowHeight="15" x14ac:dyDescent="0.25"/>
  <cols>
    <col min="1" max="1" width="27.7109375" bestFit="1" customWidth="1"/>
    <col min="2" max="2" width="7.42578125" style="4" bestFit="1" customWidth="1"/>
    <col min="3" max="3" width="23.85546875" style="4" bestFit="1" customWidth="1"/>
    <col min="4" max="4" width="9" style="20" customWidth="1"/>
    <col min="5" max="11" width="8.7109375" style="4" customWidth="1"/>
    <col min="12" max="12" width="11.42578125" style="4" bestFit="1" customWidth="1"/>
    <col min="13" max="13" width="6.85546875" bestFit="1" customWidth="1"/>
    <col min="14" max="14" width="7" bestFit="1" customWidth="1"/>
    <col min="16" max="16" width="10.85546875" style="2"/>
  </cols>
  <sheetData>
    <row r="2" spans="1:15" ht="45" x14ac:dyDescent="0.25">
      <c r="B2" s="5" t="s">
        <v>11</v>
      </c>
      <c r="C2" s="5" t="s">
        <v>2</v>
      </c>
      <c r="D2" s="19" t="s">
        <v>9</v>
      </c>
      <c r="E2" s="5" t="s">
        <v>61</v>
      </c>
      <c r="F2" s="5" t="s">
        <v>62</v>
      </c>
      <c r="G2" s="5" t="s">
        <v>63</v>
      </c>
      <c r="H2" s="5" t="s">
        <v>64</v>
      </c>
      <c r="I2" s="5" t="s">
        <v>0</v>
      </c>
      <c r="J2" s="5" t="s">
        <v>65</v>
      </c>
      <c r="K2" s="5" t="s">
        <v>6</v>
      </c>
      <c r="L2" s="5" t="s">
        <v>93</v>
      </c>
      <c r="M2" s="6"/>
      <c r="N2" s="6"/>
    </row>
    <row r="3" spans="1:15" x14ac:dyDescent="0.25">
      <c r="A3" t="str">
        <f t="shared" ref="A3:A47" si="0">CONCATENATE(B3,"-",C3)</f>
        <v>FYSETC-35HSH7402-24B-400A</v>
      </c>
      <c r="B3" s="4" t="s">
        <v>103</v>
      </c>
      <c r="C3" s="4" t="s">
        <v>105</v>
      </c>
      <c r="D3" s="20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110</v>
      </c>
      <c r="M3" t="s">
        <v>106</v>
      </c>
    </row>
    <row r="4" spans="1:15" x14ac:dyDescent="0.25">
      <c r="A4" t="str">
        <f t="shared" si="0"/>
        <v>FYSETC-42HSC1404B-200N8</v>
      </c>
      <c r="B4" s="4" t="s">
        <v>103</v>
      </c>
      <c r="C4" s="4" t="s">
        <v>104</v>
      </c>
      <c r="D4" s="20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109</v>
      </c>
      <c r="M4" t="s">
        <v>102</v>
      </c>
    </row>
    <row r="5" spans="1:15" x14ac:dyDescent="0.25">
      <c r="A5" t="str">
        <f t="shared" si="0"/>
        <v>FYSETC-G36HSY4407-6D-550</v>
      </c>
      <c r="B5" s="4" t="s">
        <v>103</v>
      </c>
      <c r="C5" s="4" t="s">
        <v>107</v>
      </c>
      <c r="D5" s="20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111</v>
      </c>
      <c r="M5" t="s">
        <v>108</v>
      </c>
      <c r="N5">
        <v>0.7</v>
      </c>
      <c r="O5">
        <f>N5^2*J5</f>
        <v>6.3699999999999992</v>
      </c>
    </row>
    <row r="6" spans="1:15" x14ac:dyDescent="0.25">
      <c r="A6" t="str">
        <f t="shared" si="0"/>
        <v>FYSETC-MSM-30010-R0005</v>
      </c>
      <c r="B6" s="4" t="s">
        <v>103</v>
      </c>
      <c r="C6" s="4" t="s">
        <v>115</v>
      </c>
      <c r="D6" s="20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117</v>
      </c>
      <c r="M6" t="s">
        <v>116</v>
      </c>
    </row>
    <row r="7" spans="1:15" x14ac:dyDescent="0.25">
      <c r="A7" t="str">
        <f t="shared" si="0"/>
        <v>FYSETC-TB-3544</v>
      </c>
      <c r="B7" s="4" t="s">
        <v>103</v>
      </c>
      <c r="C7" s="4" t="s">
        <v>113</v>
      </c>
      <c r="D7" s="20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114</v>
      </c>
      <c r="M7" t="s">
        <v>112</v>
      </c>
    </row>
    <row r="8" spans="1:15" x14ac:dyDescent="0.25">
      <c r="A8" t="str">
        <f t="shared" si="0"/>
        <v>Hanpose-23HS4128</v>
      </c>
      <c r="B8" s="4" t="s">
        <v>156</v>
      </c>
      <c r="C8" s="4" t="s">
        <v>157</v>
      </c>
      <c r="D8" s="20">
        <v>23</v>
      </c>
      <c r="E8" s="4">
        <v>41</v>
      </c>
      <c r="F8" s="4">
        <v>1.8</v>
      </c>
      <c r="G8" s="4">
        <v>2.8</v>
      </c>
      <c r="H8" s="4">
        <v>55</v>
      </c>
      <c r="I8" s="4">
        <v>1.4</v>
      </c>
      <c r="J8" s="4">
        <v>0.7</v>
      </c>
      <c r="K8" s="4">
        <v>120</v>
      </c>
    </row>
    <row r="9" spans="1:15" x14ac:dyDescent="0.25">
      <c r="A9" t="str">
        <f t="shared" si="0"/>
        <v>LDO-35STH48-1504AH(VRN)</v>
      </c>
      <c r="B9" s="4" t="s">
        <v>13</v>
      </c>
      <c r="C9" s="4" t="s">
        <v>141</v>
      </c>
      <c r="D9" s="20">
        <v>14</v>
      </c>
      <c r="E9" s="4">
        <v>52</v>
      </c>
      <c r="F9" s="4">
        <v>1.8</v>
      </c>
      <c r="G9" s="4">
        <v>1.5</v>
      </c>
      <c r="H9" s="4">
        <v>37</v>
      </c>
      <c r="I9" s="4">
        <v>3.8</v>
      </c>
      <c r="J9" s="4">
        <v>2.8</v>
      </c>
      <c r="K9" s="4">
        <v>51.8</v>
      </c>
      <c r="L9" s="4" t="s">
        <v>142</v>
      </c>
    </row>
    <row r="10" spans="1:15" x14ac:dyDescent="0.25">
      <c r="A10" t="str">
        <f t="shared" si="0"/>
        <v>LDO-35STH48-1684AHVRN</v>
      </c>
      <c r="B10" s="4" t="s">
        <v>13</v>
      </c>
      <c r="C10" s="4" t="s">
        <v>90</v>
      </c>
      <c r="D10" s="20">
        <v>14</v>
      </c>
      <c r="E10" s="4">
        <v>48</v>
      </c>
      <c r="F10" s="4">
        <v>1.8</v>
      </c>
      <c r="G10" s="4">
        <v>1.68</v>
      </c>
      <c r="H10" s="4">
        <v>40</v>
      </c>
      <c r="I10" s="4">
        <v>2.8</v>
      </c>
      <c r="J10" s="4">
        <v>1.65</v>
      </c>
      <c r="K10" s="4">
        <v>49</v>
      </c>
      <c r="L10" s="4" t="s">
        <v>110</v>
      </c>
    </row>
    <row r="11" spans="1:15" x14ac:dyDescent="0.25">
      <c r="A11" t="str">
        <f t="shared" si="0"/>
        <v>LDO-36STH20-1004AHG(XH)</v>
      </c>
      <c r="B11" s="4" t="s">
        <v>13</v>
      </c>
      <c r="C11" s="4" t="s">
        <v>148</v>
      </c>
      <c r="D11" s="20">
        <v>14</v>
      </c>
      <c r="E11" s="4">
        <v>20</v>
      </c>
      <c r="F11" s="4">
        <v>1.8</v>
      </c>
      <c r="G11" s="4">
        <v>1</v>
      </c>
      <c r="H11" s="4">
        <v>10</v>
      </c>
      <c r="I11" s="4">
        <v>1.6</v>
      </c>
      <c r="J11" s="4">
        <v>2.1</v>
      </c>
      <c r="K11" s="4">
        <v>16</v>
      </c>
    </row>
    <row r="12" spans="1:15" x14ac:dyDescent="0.25">
      <c r="A12" t="str">
        <f t="shared" si="0"/>
        <v>LDO-42STH20-1004ASH</v>
      </c>
      <c r="B12" s="4" t="s">
        <v>13</v>
      </c>
      <c r="C12" s="4" t="s">
        <v>94</v>
      </c>
      <c r="D12" s="20">
        <v>17</v>
      </c>
      <c r="E12" s="4">
        <v>20</v>
      </c>
      <c r="F12" s="4">
        <v>1.8</v>
      </c>
      <c r="G12" s="4">
        <v>1</v>
      </c>
      <c r="H12" s="4">
        <v>18</v>
      </c>
      <c r="I12" s="4">
        <v>7</v>
      </c>
      <c r="J12" s="4">
        <v>7.2</v>
      </c>
      <c r="K12" s="4">
        <v>21.4</v>
      </c>
      <c r="M12" t="s">
        <v>95</v>
      </c>
    </row>
    <row r="13" spans="1:15" x14ac:dyDescent="0.25">
      <c r="A13" t="str">
        <f t="shared" si="0"/>
        <v>LDO-42STH38-1684MAC</v>
      </c>
      <c r="B13" s="10" t="s">
        <v>13</v>
      </c>
      <c r="C13" s="10" t="s">
        <v>23</v>
      </c>
      <c r="D13" s="21">
        <v>17</v>
      </c>
      <c r="E13" s="10">
        <v>40</v>
      </c>
      <c r="F13" s="10">
        <v>0.9</v>
      </c>
      <c r="G13" s="10">
        <v>1.68</v>
      </c>
      <c r="H13" s="10">
        <v>32</v>
      </c>
      <c r="I13" s="10">
        <v>3.2</v>
      </c>
      <c r="J13" s="10">
        <v>1.65</v>
      </c>
      <c r="K13" s="10">
        <v>54</v>
      </c>
      <c r="L13" s="10"/>
      <c r="M13" s="9" t="s">
        <v>76</v>
      </c>
    </row>
    <row r="14" spans="1:15" x14ac:dyDescent="0.25">
      <c r="A14" t="str">
        <f t="shared" si="0"/>
        <v>LDO-42STH40-1004MAH(VRN)</v>
      </c>
      <c r="B14" s="4" t="s">
        <v>13</v>
      </c>
      <c r="C14" s="4" t="s">
        <v>163</v>
      </c>
      <c r="D14" s="20">
        <v>17</v>
      </c>
      <c r="E14" s="4">
        <v>40</v>
      </c>
      <c r="F14" s="4">
        <v>0.9</v>
      </c>
      <c r="G14" s="4">
        <v>1</v>
      </c>
      <c r="H14" s="4">
        <v>39</v>
      </c>
      <c r="I14" s="4">
        <v>11.5</v>
      </c>
      <c r="J14" s="4">
        <v>4.0999999999999996</v>
      </c>
      <c r="K14" s="24">
        <v>62</v>
      </c>
      <c r="M14" s="9" t="s">
        <v>162</v>
      </c>
    </row>
    <row r="15" spans="1:15" x14ac:dyDescent="0.25">
      <c r="A15" t="str">
        <f t="shared" si="0"/>
        <v>LDO-42STH40-1684AC</v>
      </c>
      <c r="B15" s="4" t="s">
        <v>13</v>
      </c>
      <c r="C15" s="4" t="s">
        <v>119</v>
      </c>
      <c r="D15" s="20">
        <v>17</v>
      </c>
      <c r="E15" s="4">
        <v>40</v>
      </c>
      <c r="F15" s="4">
        <v>1.8</v>
      </c>
      <c r="G15" s="4">
        <v>1.68</v>
      </c>
      <c r="H15" s="4">
        <v>36</v>
      </c>
      <c r="I15" s="4">
        <v>3.6</v>
      </c>
      <c r="J15" s="4">
        <v>1.65</v>
      </c>
      <c r="K15" s="4">
        <v>54</v>
      </c>
      <c r="M15" t="s">
        <v>120</v>
      </c>
    </row>
    <row r="16" spans="1:15" x14ac:dyDescent="0.25">
      <c r="A16" t="str">
        <f t="shared" si="0"/>
        <v>LDO-42STH40-2004MAH(VRN)</v>
      </c>
      <c r="B16" s="10" t="s">
        <v>13</v>
      </c>
      <c r="C16" s="10" t="s">
        <v>27</v>
      </c>
      <c r="D16" s="21">
        <v>17</v>
      </c>
      <c r="E16" s="10">
        <v>40</v>
      </c>
      <c r="F16" s="10">
        <v>0.9</v>
      </c>
      <c r="G16" s="10">
        <v>2</v>
      </c>
      <c r="H16" s="10">
        <v>35</v>
      </c>
      <c r="I16" s="10">
        <v>2.8</v>
      </c>
      <c r="J16" s="10">
        <v>1.1000000000000001</v>
      </c>
      <c r="K16" s="10">
        <v>71</v>
      </c>
      <c r="L16" s="10"/>
      <c r="M16" s="9" t="s">
        <v>81</v>
      </c>
    </row>
    <row r="17" spans="1:13" x14ac:dyDescent="0.25">
      <c r="A17" t="str">
        <f t="shared" si="0"/>
        <v>LDO-42STH47-1684AC</v>
      </c>
      <c r="B17" s="10" t="s">
        <v>13</v>
      </c>
      <c r="C17" s="10" t="s">
        <v>20</v>
      </c>
      <c r="D17" s="21">
        <v>17</v>
      </c>
      <c r="E17" s="10">
        <v>48</v>
      </c>
      <c r="F17" s="10">
        <v>1.8</v>
      </c>
      <c r="G17" s="10">
        <v>1.68</v>
      </c>
      <c r="H17" s="10">
        <v>49</v>
      </c>
      <c r="I17" s="10">
        <v>2.8</v>
      </c>
      <c r="J17" s="10">
        <v>1.65</v>
      </c>
      <c r="K17" s="10">
        <v>68</v>
      </c>
      <c r="L17" s="10"/>
      <c r="M17" s="9" t="s">
        <v>73</v>
      </c>
    </row>
    <row r="18" spans="1:13" x14ac:dyDescent="0.25">
      <c r="A18" t="str">
        <f t="shared" si="0"/>
        <v>LDO-42STH47-2504AC</v>
      </c>
      <c r="B18" s="4" t="s">
        <v>13</v>
      </c>
      <c r="C18" s="4" t="s">
        <v>100</v>
      </c>
      <c r="D18" s="20">
        <v>17</v>
      </c>
      <c r="E18" s="4">
        <v>48</v>
      </c>
      <c r="F18" s="4">
        <v>1.8</v>
      </c>
      <c r="G18" s="4">
        <v>2.5</v>
      </c>
      <c r="H18" s="4">
        <f>5.5*9.8</f>
        <v>53.900000000000006</v>
      </c>
      <c r="I18" s="4">
        <v>1.8</v>
      </c>
      <c r="J18" s="4">
        <v>1.25</v>
      </c>
      <c r="K18" s="4">
        <v>68</v>
      </c>
    </row>
    <row r="19" spans="1:13" x14ac:dyDescent="0.25">
      <c r="A19" t="str">
        <f t="shared" si="0"/>
        <v>LDO-42STH48-1684MAH</v>
      </c>
      <c r="B19" s="10" t="s">
        <v>13</v>
      </c>
      <c r="C19" s="10" t="s">
        <v>21</v>
      </c>
      <c r="D19" s="21">
        <v>17</v>
      </c>
      <c r="E19" s="10">
        <v>48</v>
      </c>
      <c r="F19" s="10">
        <v>0.9</v>
      </c>
      <c r="G19" s="10">
        <v>1.68</v>
      </c>
      <c r="H19" s="10">
        <v>39</v>
      </c>
      <c r="I19" s="10">
        <v>2.8</v>
      </c>
      <c r="J19" s="10">
        <v>1.65</v>
      </c>
      <c r="K19" s="10">
        <v>68</v>
      </c>
      <c r="L19" s="10"/>
      <c r="M19" s="9" t="s">
        <v>74</v>
      </c>
    </row>
    <row r="20" spans="1:13" x14ac:dyDescent="0.25">
      <c r="A20" t="str">
        <f t="shared" si="0"/>
        <v>LDO-42STH48-2004AC(VRN)</v>
      </c>
      <c r="B20" s="10" t="s">
        <v>13</v>
      </c>
      <c r="C20" s="10" t="s">
        <v>150</v>
      </c>
      <c r="D20" s="21">
        <v>17</v>
      </c>
      <c r="E20" s="10">
        <v>48</v>
      </c>
      <c r="F20" s="10">
        <v>1.8</v>
      </c>
      <c r="G20" s="10">
        <v>2</v>
      </c>
      <c r="H20" s="10">
        <v>59</v>
      </c>
      <c r="I20" s="10">
        <v>3</v>
      </c>
      <c r="J20" s="10">
        <v>1.6</v>
      </c>
      <c r="K20" s="10">
        <v>85</v>
      </c>
      <c r="L20" s="10"/>
      <c r="M20" s="9" t="s">
        <v>78</v>
      </c>
    </row>
    <row r="21" spans="1:13" x14ac:dyDescent="0.25">
      <c r="A21" t="str">
        <f t="shared" si="0"/>
        <v>LDO-42STH48-2004AH</v>
      </c>
      <c r="B21" s="4" t="s">
        <v>13</v>
      </c>
      <c r="C21" s="4" t="s">
        <v>98</v>
      </c>
      <c r="D21" s="20">
        <v>17</v>
      </c>
      <c r="E21" s="4">
        <v>48</v>
      </c>
      <c r="F21" s="4">
        <v>1.8</v>
      </c>
      <c r="G21" s="4">
        <v>2</v>
      </c>
      <c r="H21" s="4">
        <v>59</v>
      </c>
      <c r="I21" s="4">
        <v>3</v>
      </c>
      <c r="J21" s="4">
        <v>1.4</v>
      </c>
      <c r="K21" s="4">
        <v>68</v>
      </c>
      <c r="M21" t="s">
        <v>99</v>
      </c>
    </row>
    <row r="22" spans="1:13" x14ac:dyDescent="0.25">
      <c r="A22" t="str">
        <f t="shared" si="0"/>
        <v>LDO-42STH48-2004MAH(VRN)</v>
      </c>
      <c r="B22" s="4" t="s">
        <v>13</v>
      </c>
      <c r="C22" s="4" t="s">
        <v>149</v>
      </c>
      <c r="D22" s="20">
        <v>17</v>
      </c>
      <c r="E22" s="4">
        <v>48</v>
      </c>
      <c r="F22" s="4">
        <v>0.9</v>
      </c>
      <c r="G22" s="4">
        <v>2</v>
      </c>
      <c r="H22" s="4">
        <v>40</v>
      </c>
      <c r="I22" s="4">
        <v>2</v>
      </c>
      <c r="J22" s="4">
        <v>1.45</v>
      </c>
      <c r="K22" s="4">
        <v>68</v>
      </c>
    </row>
    <row r="23" spans="1:13" x14ac:dyDescent="0.25">
      <c r="A23" t="str">
        <f t="shared" si="0"/>
        <v>LDO-42STH48-2504AC</v>
      </c>
      <c r="B23" s="4" t="s">
        <v>13</v>
      </c>
      <c r="C23" s="4" t="s">
        <v>147</v>
      </c>
      <c r="D23" s="20">
        <v>17</v>
      </c>
      <c r="E23" s="4">
        <v>48</v>
      </c>
      <c r="F23" s="4">
        <v>1.8</v>
      </c>
      <c r="G23" s="4">
        <v>2.5</v>
      </c>
      <c r="H23" s="4">
        <v>55</v>
      </c>
      <c r="I23" s="4">
        <v>1.5</v>
      </c>
      <c r="J23" s="4">
        <v>1.2</v>
      </c>
      <c r="K23" s="4">
        <v>84.5</v>
      </c>
    </row>
    <row r="24" spans="1:13" x14ac:dyDescent="0.25">
      <c r="A24" t="str">
        <f t="shared" si="0"/>
        <v>LDO-42STH48-2504AH</v>
      </c>
      <c r="B24" s="4" t="s">
        <v>13</v>
      </c>
      <c r="C24" s="4" t="s">
        <v>146</v>
      </c>
      <c r="D24" s="20">
        <v>17</v>
      </c>
      <c r="E24" s="4">
        <v>48</v>
      </c>
      <c r="F24" s="4">
        <v>1.8</v>
      </c>
      <c r="G24" s="4">
        <v>2.5</v>
      </c>
      <c r="H24" s="4">
        <v>55</v>
      </c>
      <c r="I24" s="4">
        <v>1.5</v>
      </c>
      <c r="J24" s="4">
        <v>1.2</v>
      </c>
      <c r="K24" s="4">
        <v>84.5</v>
      </c>
    </row>
    <row r="25" spans="1:13" x14ac:dyDescent="0.25">
      <c r="A25" t="str">
        <f t="shared" si="0"/>
        <v>LDO-42STH60-2004AH</v>
      </c>
      <c r="B25" s="10" t="s">
        <v>13</v>
      </c>
      <c r="C25" s="10" t="s">
        <v>22</v>
      </c>
      <c r="D25" s="21">
        <v>17</v>
      </c>
      <c r="E25" s="10">
        <v>60</v>
      </c>
      <c r="F25" s="10">
        <v>1.8</v>
      </c>
      <c r="G25" s="10">
        <v>2</v>
      </c>
      <c r="H25" s="10">
        <v>83</v>
      </c>
      <c r="I25" s="10">
        <v>3.3</v>
      </c>
      <c r="J25" s="10">
        <v>2</v>
      </c>
      <c r="K25" s="10">
        <v>102</v>
      </c>
      <c r="L25" s="10"/>
      <c r="M25" s="9" t="s">
        <v>75</v>
      </c>
    </row>
    <row r="26" spans="1:13" x14ac:dyDescent="0.25">
      <c r="A26" t="str">
        <f t="shared" si="0"/>
        <v>LDO-42STH60-2004MAC (Railcore)</v>
      </c>
      <c r="B26" s="10" t="s">
        <v>13</v>
      </c>
      <c r="C26" s="10" t="s">
        <v>24</v>
      </c>
      <c r="D26" s="21">
        <v>17</v>
      </c>
      <c r="E26" s="10">
        <v>60</v>
      </c>
      <c r="F26" s="10">
        <v>0.9</v>
      </c>
      <c r="G26" s="10">
        <v>2</v>
      </c>
      <c r="H26" s="10">
        <v>59</v>
      </c>
      <c r="I26" s="10">
        <v>3</v>
      </c>
      <c r="J26" s="10">
        <v>1.4</v>
      </c>
      <c r="K26" s="10">
        <v>120</v>
      </c>
      <c r="L26" s="10"/>
      <c r="M26" s="9" t="s">
        <v>77</v>
      </c>
    </row>
    <row r="27" spans="1:13" x14ac:dyDescent="0.25">
      <c r="A27" t="str">
        <f t="shared" si="0"/>
        <v>LDO-42STH60-2004MAH</v>
      </c>
      <c r="B27" s="4" t="s">
        <v>13</v>
      </c>
      <c r="C27" s="4" t="s">
        <v>96</v>
      </c>
      <c r="D27" s="20">
        <v>17</v>
      </c>
      <c r="E27" s="4">
        <v>60</v>
      </c>
      <c r="F27" s="4">
        <v>0.9</v>
      </c>
      <c r="G27" s="4">
        <v>2</v>
      </c>
      <c r="H27" s="4">
        <f>9.8*6</f>
        <v>58.800000000000004</v>
      </c>
      <c r="I27" s="4">
        <v>3</v>
      </c>
      <c r="J27" s="4">
        <v>1.4</v>
      </c>
      <c r="K27" s="4">
        <v>120</v>
      </c>
      <c r="M27" t="s">
        <v>97</v>
      </c>
    </row>
    <row r="28" spans="1:13" x14ac:dyDescent="0.25">
      <c r="A28" t="str">
        <f t="shared" si="0"/>
        <v>LDO-57STH41-2804MAC(HEV)</v>
      </c>
      <c r="B28" s="4" t="s">
        <v>13</v>
      </c>
      <c r="C28" s="4" t="s">
        <v>159</v>
      </c>
      <c r="D28" s="20">
        <v>23</v>
      </c>
      <c r="E28" s="4">
        <v>41</v>
      </c>
      <c r="F28" s="4">
        <v>0.9</v>
      </c>
      <c r="G28" s="4">
        <v>2.8</v>
      </c>
      <c r="H28" s="4">
        <v>60</v>
      </c>
      <c r="I28" s="4">
        <v>1.4</v>
      </c>
      <c r="J28" s="4">
        <v>0.7</v>
      </c>
      <c r="K28" s="4">
        <v>120</v>
      </c>
      <c r="M28" s="9" t="s">
        <v>161</v>
      </c>
    </row>
    <row r="29" spans="1:13" x14ac:dyDescent="0.25">
      <c r="A29" t="str">
        <f t="shared" si="0"/>
        <v>LDO-57STH56-2804MAC(RC)</v>
      </c>
      <c r="B29" s="4" t="s">
        <v>13</v>
      </c>
      <c r="C29" s="4" t="s">
        <v>155</v>
      </c>
      <c r="D29" s="20">
        <v>23</v>
      </c>
      <c r="E29" s="4">
        <v>56</v>
      </c>
      <c r="F29" s="4">
        <v>0.9</v>
      </c>
      <c r="G29" s="4">
        <v>2.8</v>
      </c>
      <c r="H29" s="4">
        <v>120</v>
      </c>
      <c r="I29" s="4">
        <v>3.4</v>
      </c>
      <c r="J29" s="4">
        <v>1.1000000000000001</v>
      </c>
      <c r="K29" s="4">
        <v>305</v>
      </c>
      <c r="M29" s="9" t="s">
        <v>154</v>
      </c>
    </row>
    <row r="30" spans="1:13" x14ac:dyDescent="0.25">
      <c r="A30" t="str">
        <f t="shared" si="0"/>
        <v>Moons-MS14HA1P4150</v>
      </c>
      <c r="B30" s="10" t="s">
        <v>15</v>
      </c>
      <c r="C30" s="10" t="s">
        <v>32</v>
      </c>
      <c r="D30" s="21">
        <v>14</v>
      </c>
      <c r="E30" s="10">
        <v>27</v>
      </c>
      <c r="F30" s="10">
        <v>0.9</v>
      </c>
      <c r="G30" s="10">
        <v>1.5</v>
      </c>
      <c r="H30" s="10">
        <v>11</v>
      </c>
      <c r="I30" s="10">
        <v>1.8</v>
      </c>
      <c r="J30" s="10">
        <v>1.55</v>
      </c>
      <c r="K30" s="10">
        <v>12</v>
      </c>
      <c r="L30" s="10"/>
      <c r="M30" s="9" t="s">
        <v>87</v>
      </c>
    </row>
    <row r="31" spans="1:13" x14ac:dyDescent="0.25">
      <c r="A31" t="str">
        <f t="shared" si="0"/>
        <v>Moons-MS14HA3P4150</v>
      </c>
      <c r="B31" s="10" t="s">
        <v>15</v>
      </c>
      <c r="C31" s="10" t="s">
        <v>10</v>
      </c>
      <c r="D31" s="21">
        <v>14</v>
      </c>
      <c r="E31" s="10">
        <v>36</v>
      </c>
      <c r="F31" s="10">
        <v>0.9</v>
      </c>
      <c r="G31" s="10">
        <v>1.5</v>
      </c>
      <c r="H31" s="10">
        <v>18</v>
      </c>
      <c r="I31" s="10">
        <v>2.2000000000000002</v>
      </c>
      <c r="J31" s="10">
        <v>1.61</v>
      </c>
      <c r="K31" s="10">
        <v>20</v>
      </c>
      <c r="L31" s="10"/>
      <c r="M31" s="9" t="s">
        <v>85</v>
      </c>
    </row>
    <row r="32" spans="1:13" x14ac:dyDescent="0.25">
      <c r="A32" t="str">
        <f t="shared" si="0"/>
        <v>Moons-MS17HA2P4150 </v>
      </c>
      <c r="B32" s="11" t="s">
        <v>15</v>
      </c>
      <c r="C32" s="10" t="s">
        <v>66</v>
      </c>
      <c r="D32" s="22">
        <v>17</v>
      </c>
      <c r="E32" s="11">
        <v>39.799999999999997</v>
      </c>
      <c r="F32" s="11">
        <v>0.9</v>
      </c>
      <c r="G32" s="11">
        <v>1.5</v>
      </c>
      <c r="H32" s="11">
        <v>40</v>
      </c>
      <c r="I32" s="11">
        <v>5.4</v>
      </c>
      <c r="J32" s="11">
        <v>1.98</v>
      </c>
      <c r="K32" s="11">
        <v>57</v>
      </c>
      <c r="L32" s="11"/>
      <c r="M32" s="9" t="s">
        <v>67</v>
      </c>
    </row>
    <row r="33" spans="1:13" x14ac:dyDescent="0.25">
      <c r="A33" t="str">
        <f t="shared" si="0"/>
        <v>Moons-MS17HA2P4200</v>
      </c>
      <c r="B33" s="10" t="s">
        <v>15</v>
      </c>
      <c r="C33" s="10" t="s">
        <v>26</v>
      </c>
      <c r="D33" s="21">
        <v>17</v>
      </c>
      <c r="E33" s="10">
        <v>40</v>
      </c>
      <c r="F33" s="10">
        <v>0.9</v>
      </c>
      <c r="G33" s="10">
        <v>2</v>
      </c>
      <c r="H33" s="10">
        <v>39</v>
      </c>
      <c r="I33" s="10">
        <v>2.8</v>
      </c>
      <c r="J33" s="10">
        <v>1.05</v>
      </c>
      <c r="K33" s="10">
        <v>57</v>
      </c>
      <c r="L33" s="10"/>
      <c r="M33" s="9" t="s">
        <v>80</v>
      </c>
    </row>
    <row r="34" spans="1:13" x14ac:dyDescent="0.25">
      <c r="A34" t="str">
        <f t="shared" si="0"/>
        <v>Moons-MS17HDBP4100</v>
      </c>
      <c r="B34" s="10" t="s">
        <v>15</v>
      </c>
      <c r="C34" s="10" t="s">
        <v>33</v>
      </c>
      <c r="D34" s="21">
        <v>17</v>
      </c>
      <c r="E34" s="10">
        <v>63</v>
      </c>
      <c r="F34" s="10">
        <v>1.8</v>
      </c>
      <c r="G34" s="10">
        <v>1</v>
      </c>
      <c r="H34" s="10">
        <v>82</v>
      </c>
      <c r="I34" s="10">
        <v>14.6</v>
      </c>
      <c r="J34" s="10">
        <v>5.6</v>
      </c>
      <c r="K34" s="10">
        <v>123</v>
      </c>
      <c r="L34" s="10"/>
      <c r="M34" s="9" t="s">
        <v>88</v>
      </c>
    </row>
    <row r="35" spans="1:13" x14ac:dyDescent="0.25">
      <c r="A35" t="str">
        <f t="shared" si="0"/>
        <v>Motech-MT-1704HSM168RE</v>
      </c>
      <c r="B35" s="10" t="s">
        <v>16</v>
      </c>
      <c r="C35" s="10" t="s">
        <v>28</v>
      </c>
      <c r="D35" s="21">
        <v>17</v>
      </c>
      <c r="E35" s="10">
        <v>48</v>
      </c>
      <c r="F35" s="10">
        <v>0.9</v>
      </c>
      <c r="G35" s="10">
        <v>1.68</v>
      </c>
      <c r="H35" s="23">
        <f>4.4*9.8</f>
        <v>43.120000000000005</v>
      </c>
      <c r="I35" s="10">
        <v>2.8</v>
      </c>
      <c r="J35" s="10">
        <v>1.65</v>
      </c>
      <c r="K35" s="10">
        <v>68</v>
      </c>
      <c r="L35" s="10"/>
      <c r="M35" s="9" t="s">
        <v>82</v>
      </c>
    </row>
    <row r="36" spans="1:13" x14ac:dyDescent="0.25">
      <c r="A36" t="str">
        <f t="shared" si="0"/>
        <v>Nanotec-ST4209L1704-A</v>
      </c>
      <c r="B36" s="10" t="s">
        <v>14</v>
      </c>
      <c r="C36" s="10" t="s">
        <v>25</v>
      </c>
      <c r="D36" s="21">
        <v>17</v>
      </c>
      <c r="E36" s="10">
        <v>48</v>
      </c>
      <c r="F36" s="10">
        <v>0.9</v>
      </c>
      <c r="G36" s="10">
        <v>1.68</v>
      </c>
      <c r="H36" s="10">
        <v>44</v>
      </c>
      <c r="I36" s="10">
        <v>5</v>
      </c>
      <c r="J36" s="10">
        <v>1.8</v>
      </c>
      <c r="K36" s="10">
        <v>68</v>
      </c>
      <c r="L36" s="10"/>
      <c r="M36" s="9" t="s">
        <v>79</v>
      </c>
    </row>
    <row r="37" spans="1:13" x14ac:dyDescent="0.25">
      <c r="A37" t="str">
        <f t="shared" si="0"/>
        <v>OMC-14HS10-0404S</v>
      </c>
      <c r="B37" s="10" t="s">
        <v>12</v>
      </c>
      <c r="C37" s="10" t="s">
        <v>91</v>
      </c>
      <c r="D37" s="21">
        <v>14</v>
      </c>
      <c r="E37" s="10">
        <v>26</v>
      </c>
      <c r="F37" s="10">
        <v>1.8</v>
      </c>
      <c r="G37" s="10">
        <v>0.4</v>
      </c>
      <c r="H37" s="10">
        <v>14</v>
      </c>
      <c r="I37" s="10">
        <v>30</v>
      </c>
      <c r="J37" s="10">
        <v>30</v>
      </c>
      <c r="K37" s="10">
        <v>12</v>
      </c>
      <c r="L37" s="10"/>
      <c r="M37" s="9" t="s">
        <v>92</v>
      </c>
    </row>
    <row r="38" spans="1:13" x14ac:dyDescent="0.25">
      <c r="A38" t="str">
        <f t="shared" si="0"/>
        <v>OMC-14HS13-0804S</v>
      </c>
      <c r="B38" s="10" t="s">
        <v>12</v>
      </c>
      <c r="C38" s="10" t="s">
        <v>34</v>
      </c>
      <c r="D38" s="21">
        <v>14</v>
      </c>
      <c r="E38" s="10">
        <v>34</v>
      </c>
      <c r="F38" s="10">
        <v>1.8</v>
      </c>
      <c r="G38" s="10">
        <v>0.8</v>
      </c>
      <c r="H38" s="10">
        <v>18</v>
      </c>
      <c r="I38" s="10">
        <v>10</v>
      </c>
      <c r="J38" s="10">
        <v>6.8</v>
      </c>
      <c r="K38" s="10">
        <v>14</v>
      </c>
      <c r="L38" s="10"/>
      <c r="M38" s="9" t="s">
        <v>89</v>
      </c>
    </row>
    <row r="39" spans="1:13" x14ac:dyDescent="0.25">
      <c r="A39" t="str">
        <f t="shared" si="0"/>
        <v>OMC-14HS17-0504S</v>
      </c>
      <c r="B39" s="10" t="s">
        <v>12</v>
      </c>
      <c r="C39" s="10" t="s">
        <v>29</v>
      </c>
      <c r="D39" s="21">
        <v>14</v>
      </c>
      <c r="E39" s="10">
        <v>42</v>
      </c>
      <c r="F39" s="10">
        <v>1.8</v>
      </c>
      <c r="G39" s="10">
        <v>0.5</v>
      </c>
      <c r="H39" s="10">
        <v>23</v>
      </c>
      <c r="I39" s="10">
        <v>26</v>
      </c>
      <c r="J39" s="10">
        <v>15</v>
      </c>
      <c r="K39" s="10">
        <v>18</v>
      </c>
      <c r="L39" s="10"/>
      <c r="M39" s="9" t="s">
        <v>83</v>
      </c>
    </row>
    <row r="40" spans="1:13" x14ac:dyDescent="0.25">
      <c r="A40" t="str">
        <f t="shared" si="0"/>
        <v>OMC-14HS20-1504S</v>
      </c>
      <c r="B40" s="10" t="s">
        <v>12</v>
      </c>
      <c r="C40" s="10" t="s">
        <v>30</v>
      </c>
      <c r="D40" s="21">
        <v>14</v>
      </c>
      <c r="E40" s="10">
        <v>52</v>
      </c>
      <c r="F40" s="10">
        <v>1.8</v>
      </c>
      <c r="G40" s="10">
        <v>1.5</v>
      </c>
      <c r="H40" s="10">
        <v>40</v>
      </c>
      <c r="I40" s="10">
        <v>3.8</v>
      </c>
      <c r="J40" s="10">
        <v>2.8</v>
      </c>
      <c r="K40" s="10">
        <v>54</v>
      </c>
      <c r="L40" s="10" t="s">
        <v>110</v>
      </c>
      <c r="M40" s="9" t="s">
        <v>84</v>
      </c>
    </row>
    <row r="41" spans="1:13" x14ac:dyDescent="0.25">
      <c r="A41" t="str">
        <f t="shared" si="0"/>
        <v>OMC-17HM19-1684S</v>
      </c>
      <c r="B41" s="10" t="s">
        <v>12</v>
      </c>
      <c r="C41" s="10" t="s">
        <v>19</v>
      </c>
      <c r="D41" s="21">
        <v>17</v>
      </c>
      <c r="E41" s="10">
        <v>48</v>
      </c>
      <c r="F41" s="10">
        <v>0.9</v>
      </c>
      <c r="G41" s="10">
        <v>1.68</v>
      </c>
      <c r="H41" s="10">
        <v>44</v>
      </c>
      <c r="I41" s="10">
        <v>4.0999999999999996</v>
      </c>
      <c r="J41" s="10">
        <v>1.65</v>
      </c>
      <c r="K41" s="10">
        <v>68</v>
      </c>
      <c r="L41" s="10"/>
      <c r="M41" s="9" t="s">
        <v>72</v>
      </c>
    </row>
    <row r="42" spans="1:13" x14ac:dyDescent="0.25">
      <c r="A42" t="str">
        <f t="shared" si="0"/>
        <v>OMC-17HM19-2004S</v>
      </c>
      <c r="B42" s="10" t="s">
        <v>12</v>
      </c>
      <c r="C42" s="10" t="s">
        <v>18</v>
      </c>
      <c r="D42" s="21">
        <v>17</v>
      </c>
      <c r="E42" s="10">
        <v>48</v>
      </c>
      <c r="F42" s="10">
        <v>0.9</v>
      </c>
      <c r="G42" s="10">
        <v>2</v>
      </c>
      <c r="H42" s="10">
        <v>46</v>
      </c>
      <c r="I42" s="10">
        <v>4</v>
      </c>
      <c r="J42" s="10">
        <v>1.45</v>
      </c>
      <c r="K42" s="10">
        <v>82</v>
      </c>
      <c r="L42" s="10"/>
      <c r="M42" s="9" t="s">
        <v>71</v>
      </c>
    </row>
    <row r="43" spans="1:13" x14ac:dyDescent="0.25">
      <c r="A43" t="str">
        <f t="shared" si="0"/>
        <v>OMC-17HS08-1004S</v>
      </c>
      <c r="B43" s="4" t="s">
        <v>12</v>
      </c>
      <c r="C43" s="4" t="s">
        <v>118</v>
      </c>
      <c r="D43" s="20">
        <v>17</v>
      </c>
      <c r="E43" s="4">
        <v>20</v>
      </c>
      <c r="F43" s="4">
        <v>1.8</v>
      </c>
      <c r="G43" s="4">
        <v>1</v>
      </c>
      <c r="H43" s="4">
        <v>16</v>
      </c>
      <c r="I43" s="4">
        <v>3.7</v>
      </c>
      <c r="J43" s="4">
        <v>4.5</v>
      </c>
      <c r="K43" s="4">
        <v>22</v>
      </c>
    </row>
    <row r="44" spans="1:13" x14ac:dyDescent="0.25">
      <c r="A44" t="str">
        <f t="shared" si="0"/>
        <v>OMC-17HS13-0404S1</v>
      </c>
      <c r="B44" s="10" t="s">
        <v>12</v>
      </c>
      <c r="C44" s="10" t="s">
        <v>31</v>
      </c>
      <c r="D44" s="21">
        <v>17</v>
      </c>
      <c r="E44" s="10">
        <v>34</v>
      </c>
      <c r="F44" s="10">
        <v>1.8</v>
      </c>
      <c r="G44" s="10">
        <v>0.4</v>
      </c>
      <c r="H44" s="10">
        <v>26</v>
      </c>
      <c r="I44" s="10">
        <v>37</v>
      </c>
      <c r="J44" s="10">
        <v>30</v>
      </c>
      <c r="K44" s="10">
        <v>38</v>
      </c>
      <c r="L44" s="10"/>
      <c r="M44" s="9" t="s">
        <v>86</v>
      </c>
    </row>
    <row r="45" spans="1:13" x14ac:dyDescent="0.25">
      <c r="A45" t="str">
        <f t="shared" si="0"/>
        <v>OMC-17HS16-2004S1</v>
      </c>
      <c r="B45" s="10" t="s">
        <v>12</v>
      </c>
      <c r="C45" s="10" t="s">
        <v>17</v>
      </c>
      <c r="D45" s="21">
        <v>17</v>
      </c>
      <c r="E45" s="10">
        <v>40</v>
      </c>
      <c r="F45" s="10">
        <v>1.8</v>
      </c>
      <c r="G45" s="10">
        <v>2</v>
      </c>
      <c r="H45" s="10">
        <v>45</v>
      </c>
      <c r="I45" s="10">
        <v>2.6</v>
      </c>
      <c r="J45" s="10">
        <v>1.1000000000000001</v>
      </c>
      <c r="K45" s="10">
        <v>54</v>
      </c>
      <c r="L45" s="10"/>
      <c r="M45" s="9" t="s">
        <v>70</v>
      </c>
    </row>
    <row r="46" spans="1:13" x14ac:dyDescent="0.25">
      <c r="A46" t="str">
        <f t="shared" si="0"/>
        <v>OMC-17HS19-2004S1</v>
      </c>
      <c r="B46" s="10" t="s">
        <v>12</v>
      </c>
      <c r="C46" s="10" t="s">
        <v>68</v>
      </c>
      <c r="D46" s="21">
        <v>17</v>
      </c>
      <c r="E46" s="10">
        <v>48</v>
      </c>
      <c r="F46" s="10">
        <v>1.8</v>
      </c>
      <c r="G46" s="10">
        <v>2</v>
      </c>
      <c r="H46" s="10">
        <v>59</v>
      </c>
      <c r="I46" s="10">
        <v>3</v>
      </c>
      <c r="J46" s="10">
        <v>1.4</v>
      </c>
      <c r="K46" s="10">
        <v>82</v>
      </c>
      <c r="L46" s="10"/>
      <c r="M46" s="9" t="s">
        <v>69</v>
      </c>
    </row>
    <row r="47" spans="1:13" x14ac:dyDescent="0.25">
      <c r="A47" t="str">
        <f t="shared" si="0"/>
        <v>OMC-17HS24-2104S</v>
      </c>
      <c r="B47" s="4" t="s">
        <v>12</v>
      </c>
      <c r="C47" s="4" t="s">
        <v>101</v>
      </c>
      <c r="D47" s="20">
        <v>17</v>
      </c>
      <c r="E47" s="4">
        <v>60</v>
      </c>
      <c r="F47" s="4">
        <v>1.8</v>
      </c>
      <c r="G47" s="4">
        <v>2.1</v>
      </c>
      <c r="H47" s="4">
        <v>65</v>
      </c>
      <c r="I47" s="4">
        <v>3</v>
      </c>
      <c r="J47" s="4">
        <v>1.6</v>
      </c>
      <c r="K47" s="4">
        <v>148</v>
      </c>
    </row>
    <row r="48" spans="1:13" x14ac:dyDescent="0.25">
      <c r="A48" t="s">
        <v>164</v>
      </c>
      <c r="B48" s="4" t="s">
        <v>13</v>
      </c>
      <c r="C48" s="4" t="s">
        <v>165</v>
      </c>
      <c r="D48" s="20">
        <v>17</v>
      </c>
      <c r="E48" s="4">
        <v>48</v>
      </c>
      <c r="F48" s="4">
        <v>1.8</v>
      </c>
      <c r="G48" s="4">
        <v>2.8</v>
      </c>
      <c r="H48" s="4">
        <v>42</v>
      </c>
      <c r="I48" s="4">
        <v>0.6</v>
      </c>
      <c r="J48" s="4">
        <v>0.7</v>
      </c>
      <c r="K48" s="4">
        <v>84.5</v>
      </c>
      <c r="M48" s="9" t="s">
        <v>166</v>
      </c>
    </row>
  </sheetData>
  <autoFilter ref="A2:M26" xr:uid="{4E5820D9-FC51-B24E-8652-C82A7458A230}">
    <sortState xmlns:xlrd2="http://schemas.microsoft.com/office/spreadsheetml/2017/richdata2" ref="A3:M47">
      <sortCondition ref="A2:A47"/>
    </sortState>
  </autoFilter>
  <conditionalFormatting sqref="D26:D47 D1:D2 D49:D104857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:F47 F1:F2 F49:F1048576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47 G1:G2 G49:G10485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6:H47 H1:H2 H49:H1048576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47 I1:I2 I49:I1048576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J47 J1:J2 J49:J1048576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:E47 E1:E2 E49:E104857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:L47 K1:L2 K49:L1048576 L48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47 D49:D104857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47 D49:D1048576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47 E49:E1048576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47 F49:F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47 G49:G1048576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47 H49:H104857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47 I49:I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47 J49:J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47 K49:L1048576 L4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4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4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M46" r:id="rId1" xr:uid="{C2775235-EB6F-7040-BBAD-E349E51BBBBB}"/>
    <hyperlink ref="M45" r:id="rId2" xr:uid="{8DC8DF4C-0DC9-F947-AC59-4E2ED6070688}"/>
    <hyperlink ref="M42" r:id="rId3" xr:uid="{E3120C9D-BB54-9B49-A5BA-4D9B56A62E76}"/>
    <hyperlink ref="M41" r:id="rId4" xr:uid="{BAB8A304-2D89-EC4D-89E1-9EF92AA59F59}"/>
    <hyperlink ref="M17" r:id="rId5" xr:uid="{011BC0B7-A0CF-E04C-83A9-9EAEC4CB4F2C}"/>
    <hyperlink ref="M19" r:id="rId6" xr:uid="{3B96C3D1-4CAC-484D-8A07-9D312A8A905E}"/>
    <hyperlink ref="M25" r:id="rId7" xr:uid="{2420A367-9004-D44E-854F-EE7FD0593775}"/>
    <hyperlink ref="M13" r:id="rId8" xr:uid="{BEFB2DF9-E9F8-C24E-A598-E5547541405B}"/>
    <hyperlink ref="M26" r:id="rId9" xr:uid="{E2810440-A68F-CC49-8A2C-D3889A6849A8}"/>
    <hyperlink ref="M20" r:id="rId10" xr:uid="{2E62C23D-106B-9640-8161-F8867A8FBF69}"/>
    <hyperlink ref="M36" r:id="rId11" xr:uid="{E0C25598-A681-6144-9081-BC17EE9946B9}"/>
    <hyperlink ref="M33" r:id="rId12" xr:uid="{C4D04378-8C2D-A640-912B-5FF8F0101379}"/>
    <hyperlink ref="M16" r:id="rId13" xr:uid="{08F335D5-DEC6-A642-B4A0-7E4EA95B8F0B}"/>
    <hyperlink ref="M35" r:id="rId14" xr:uid="{05896135-9D69-884B-83F5-A00B98BF9FED}"/>
    <hyperlink ref="M39" r:id="rId15" xr:uid="{6BD4800E-276E-0C43-998D-318466961CEE}"/>
    <hyperlink ref="M40" r:id="rId16" xr:uid="{039EF56E-DB7D-6747-8F85-696346E01452}"/>
    <hyperlink ref="M31" r:id="rId17" xr:uid="{7F9877EC-7C62-8847-8D0E-A7E7B1EDEE43}"/>
    <hyperlink ref="M44" r:id="rId18" xr:uid="{99CD061C-61E4-C64A-899F-19BDE0DBADA3}"/>
    <hyperlink ref="M30" r:id="rId19" xr:uid="{A3632361-F340-9D40-898D-F49B347AE315}"/>
    <hyperlink ref="M34" r:id="rId20" xr:uid="{DEA02D60-7AD5-9044-82AD-A8256F43B20E}"/>
    <hyperlink ref="M38" r:id="rId21" xr:uid="{024573C7-FF81-0B40-A9F9-7A18C6279FE8}"/>
    <hyperlink ref="M32" r:id="rId22" xr:uid="{743FB7ED-A770-FD4A-A1DD-1037006C0394}"/>
    <hyperlink ref="M29" r:id="rId23" xr:uid="{0016BEC1-888C-9B43-B981-691BCA1EB199}"/>
    <hyperlink ref="M28" r:id="rId24" xr:uid="{6F22CF9D-D79D-AF4F-976B-82CEA1CD7414}"/>
    <hyperlink ref="M48" r:id="rId25" xr:uid="{30465564-9B65-48DA-81D6-B90E28169C2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sheetPr codeName="Sheet2"/>
  <dimension ref="A1:N195"/>
  <sheetViews>
    <sheetView workbookViewId="0">
      <selection activeCell="A13" sqref="A13"/>
    </sheetView>
  </sheetViews>
  <sheetFormatPr defaultColWidth="8.85546875" defaultRowHeight="15" x14ac:dyDescent="0.25"/>
  <cols>
    <col min="1" max="1" width="25.7109375" bestFit="1" customWidth="1"/>
    <col min="3" max="8" width="8.85546875" style="2"/>
    <col min="9" max="9" width="8.85546875" style="17"/>
    <col min="10" max="11" width="8.85546875" style="18"/>
  </cols>
  <sheetData>
    <row r="1" spans="1:14" x14ac:dyDescent="0.25">
      <c r="A1" t="s">
        <v>2</v>
      </c>
      <c r="B1" t="s">
        <v>139</v>
      </c>
      <c r="D1" s="12" t="s">
        <v>121</v>
      </c>
      <c r="E1" s="12" t="s">
        <v>122</v>
      </c>
      <c r="F1" s="13" t="s">
        <v>123</v>
      </c>
      <c r="G1" s="13" t="s">
        <v>124</v>
      </c>
      <c r="H1" s="13" t="s">
        <v>125</v>
      </c>
      <c r="I1" s="13" t="s">
        <v>126</v>
      </c>
      <c r="J1" s="13" t="s">
        <v>127</v>
      </c>
      <c r="K1" s="13" t="s">
        <v>128</v>
      </c>
      <c r="L1" s="14" t="s">
        <v>129</v>
      </c>
      <c r="M1" s="15" t="s">
        <v>130</v>
      </c>
      <c r="N1" s="15" t="s">
        <v>131</v>
      </c>
    </row>
    <row r="2" spans="1:14" x14ac:dyDescent="0.25">
      <c r="A2" s="16" t="s">
        <v>132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7">
        <f t="shared" ref="L2:L25" si="5">K2/$B$5</f>
        <v>0.6</v>
      </c>
      <c r="M2" s="18">
        <f>L2*$B$8/(100*SQRT(2))</f>
        <v>0.25031580054003782</v>
      </c>
      <c r="N2" s="18">
        <f>M2*SQRT(2)</f>
        <v>0.35400000000000004</v>
      </c>
    </row>
    <row r="3" spans="1:14" x14ac:dyDescent="0.25">
      <c r="A3" s="1" t="s">
        <v>133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7">
        <f t="shared" si="5"/>
        <v>0.6</v>
      </c>
      <c r="M3" s="18">
        <f t="shared" ref="M3:M25" si="8">L3*$B$8/(100*SQRT(2))</f>
        <v>0.25031580054003782</v>
      </c>
      <c r="N3" s="18">
        <f t="shared" ref="N3:N25" si="9">M3*SQRT(2)</f>
        <v>0.35400000000000004</v>
      </c>
    </row>
    <row r="4" spans="1:14" x14ac:dyDescent="0.25">
      <c r="A4" s="1" t="s">
        <v>134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7">
        <f t="shared" si="5"/>
        <v>0.6</v>
      </c>
      <c r="M4" s="18">
        <f t="shared" si="8"/>
        <v>0.25031580054003782</v>
      </c>
      <c r="N4" s="18">
        <f t="shared" si="9"/>
        <v>0.35400000000000004</v>
      </c>
    </row>
    <row r="5" spans="1:14" x14ac:dyDescent="0.25">
      <c r="A5" s="1" t="s">
        <v>135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7">
        <f t="shared" si="5"/>
        <v>0.6</v>
      </c>
      <c r="M5" s="18">
        <f t="shared" si="8"/>
        <v>0.25031580054003782</v>
      </c>
      <c r="N5" s="18">
        <f t="shared" si="9"/>
        <v>0.35400000000000004</v>
      </c>
    </row>
    <row r="6" spans="1:14" x14ac:dyDescent="0.25">
      <c r="A6" s="1" t="s">
        <v>136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7">
        <f t="shared" si="5"/>
        <v>0.6</v>
      </c>
      <c r="M6" s="18">
        <f t="shared" si="8"/>
        <v>0.25031580054003782</v>
      </c>
      <c r="N6" s="18">
        <f t="shared" si="9"/>
        <v>0.35400000000000004</v>
      </c>
    </row>
    <row r="7" spans="1:14" x14ac:dyDescent="0.25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7">
        <f t="shared" si="5"/>
        <v>0.6</v>
      </c>
      <c r="M7" s="18">
        <f t="shared" si="8"/>
        <v>0.25031580054003782</v>
      </c>
      <c r="N7" s="18">
        <f t="shared" si="9"/>
        <v>0.35400000000000004</v>
      </c>
    </row>
    <row r="8" spans="1:14" x14ac:dyDescent="0.25">
      <c r="A8" s="1" t="s">
        <v>137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7">
        <f t="shared" si="5"/>
        <v>0.6</v>
      </c>
      <c r="M8" s="18">
        <f t="shared" si="8"/>
        <v>0.25031580054003782</v>
      </c>
      <c r="N8" s="18">
        <f t="shared" si="9"/>
        <v>0.35400000000000004</v>
      </c>
    </row>
    <row r="9" spans="1:14" x14ac:dyDescent="0.25">
      <c r="A9" s="16" t="s">
        <v>138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7">
        <f t="shared" si="5"/>
        <v>0.6</v>
      </c>
      <c r="M9" s="18">
        <f t="shared" si="8"/>
        <v>0.25031580054003782</v>
      </c>
      <c r="N9" s="18">
        <f t="shared" si="9"/>
        <v>0.35400000000000004</v>
      </c>
    </row>
    <row r="10" spans="1:14" x14ac:dyDescent="0.25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7">
        <f t="shared" si="5"/>
        <v>0.6</v>
      </c>
      <c r="M10" s="18">
        <f t="shared" si="8"/>
        <v>0.25031580054003782</v>
      </c>
      <c r="N10" s="18">
        <f t="shared" si="9"/>
        <v>0.35400000000000004</v>
      </c>
    </row>
    <row r="11" spans="1:14" x14ac:dyDescent="0.25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7">
        <f t="shared" si="5"/>
        <v>0.50317407765371647</v>
      </c>
      <c r="M11" s="18">
        <f t="shared" si="8"/>
        <v>0.20992070343147531</v>
      </c>
      <c r="N11" s="18">
        <f t="shared" si="9"/>
        <v>0.29687270581569269</v>
      </c>
    </row>
    <row r="12" spans="1:14" x14ac:dyDescent="0.25">
      <c r="A12" t="s">
        <v>140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7">
        <f t="shared" si="5"/>
        <v>0.40718265429476624</v>
      </c>
      <c r="M12" s="18">
        <f t="shared" si="8"/>
        <v>0.16987375345968647</v>
      </c>
      <c r="N12" s="18">
        <f t="shared" si="9"/>
        <v>0.24023776603391211</v>
      </c>
    </row>
    <row r="13" spans="1:14" x14ac:dyDescent="0.25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7">
        <f t="shared" si="5"/>
        <v>0.32542753018676657</v>
      </c>
      <c r="M13" s="18">
        <f t="shared" si="8"/>
        <v>0.13576608789411299</v>
      </c>
      <c r="N13" s="18">
        <f t="shared" si="9"/>
        <v>0.19200224281019226</v>
      </c>
    </row>
    <row r="14" spans="1:14" x14ac:dyDescent="0.25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7">
        <f t="shared" si="5"/>
        <v>0.25496030475211212</v>
      </c>
      <c r="M14" s="18">
        <f t="shared" si="8"/>
        <v>0.10636765464992826</v>
      </c>
      <c r="N14" s="18">
        <f t="shared" si="9"/>
        <v>0.15042657980374616</v>
      </c>
    </row>
    <row r="15" spans="1:14" x14ac:dyDescent="0.25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7">
        <f t="shared" si="5"/>
        <v>0.19359417008590513</v>
      </c>
      <c r="M15" s="18">
        <f t="shared" si="8"/>
        <v>8.0766132774895971E-2</v>
      </c>
      <c r="N15" s="18">
        <f t="shared" si="9"/>
        <v>0.11422056035068402</v>
      </c>
    </row>
    <row r="16" spans="1:14" x14ac:dyDescent="0.25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7">
        <f t="shared" si="5"/>
        <v>0.13967292155280306</v>
      </c>
      <c r="M16" s="18">
        <f t="shared" si="8"/>
        <v>5.8270565287092999E-2</v>
      </c>
      <c r="N16" s="18">
        <f t="shared" si="9"/>
        <v>8.2407023716153813E-2</v>
      </c>
    </row>
    <row r="17" spans="3:14" x14ac:dyDescent="0.25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7">
        <f t="shared" si="5"/>
        <v>9.1919230669093979E-2</v>
      </c>
      <c r="M17" s="18">
        <f t="shared" si="8"/>
        <v>3.8348059683264421E-2</v>
      </c>
      <c r="N17" s="18">
        <f t="shared" si="9"/>
        <v>5.4232346094765446E-2</v>
      </c>
    </row>
    <row r="18" spans="3:14" x14ac:dyDescent="0.25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7">
        <f t="shared" si="5"/>
        <v>4.933216552258457E-2</v>
      </c>
      <c r="M18" s="18">
        <f t="shared" si="8"/>
        <v>2.0581034175265682E-2</v>
      </c>
      <c r="N18" s="18">
        <f t="shared" si="9"/>
        <v>2.9105977658324896E-2</v>
      </c>
    </row>
    <row r="19" spans="3:14" x14ac:dyDescent="0.25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7">
        <f t="shared" si="5"/>
        <v>1.111626692266696E-2</v>
      </c>
      <c r="M19" s="18">
        <f t="shared" si="8"/>
        <v>4.6376287562735381E-3</v>
      </c>
      <c r="N19" s="18">
        <f t="shared" si="9"/>
        <v>6.5585974843735068E-3</v>
      </c>
    </row>
    <row r="20" spans="3:14" x14ac:dyDescent="0.25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7">
        <f t="shared" si="5"/>
        <v>0</v>
      </c>
      <c r="M20" s="18">
        <f t="shared" si="8"/>
        <v>0</v>
      </c>
      <c r="N20" s="18">
        <f t="shared" si="9"/>
        <v>0</v>
      </c>
    </row>
    <row r="21" spans="3:14" x14ac:dyDescent="0.25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7">
        <f t="shared" si="5"/>
        <v>0</v>
      </c>
      <c r="M21" s="18">
        <f t="shared" si="8"/>
        <v>0</v>
      </c>
      <c r="N21" s="18">
        <f t="shared" si="9"/>
        <v>0</v>
      </c>
    </row>
    <row r="22" spans="3:14" x14ac:dyDescent="0.25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7">
        <f t="shared" si="5"/>
        <v>0</v>
      </c>
      <c r="M22" s="18">
        <f t="shared" si="8"/>
        <v>0</v>
      </c>
      <c r="N22" s="18">
        <f t="shared" si="9"/>
        <v>0</v>
      </c>
    </row>
    <row r="23" spans="3:14" x14ac:dyDescent="0.25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7">
        <f t="shared" si="5"/>
        <v>0</v>
      </c>
      <c r="M23" s="18">
        <f t="shared" si="8"/>
        <v>0</v>
      </c>
      <c r="N23" s="18">
        <f t="shared" si="9"/>
        <v>0</v>
      </c>
    </row>
    <row r="24" spans="3:14" x14ac:dyDescent="0.25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7">
        <f t="shared" si="5"/>
        <v>0</v>
      </c>
      <c r="M24" s="18">
        <f t="shared" si="8"/>
        <v>0</v>
      </c>
      <c r="N24" s="18">
        <f t="shared" si="9"/>
        <v>0</v>
      </c>
    </row>
    <row r="25" spans="3:14" x14ac:dyDescent="0.25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7">
        <f t="shared" si="5"/>
        <v>0</v>
      </c>
      <c r="M25" s="18">
        <f t="shared" si="8"/>
        <v>0</v>
      </c>
      <c r="N25" s="18">
        <f t="shared" si="9"/>
        <v>0</v>
      </c>
    </row>
    <row r="27" spans="3:14" x14ac:dyDescent="0.25">
      <c r="C27"/>
      <c r="D27"/>
      <c r="E27"/>
      <c r="F27"/>
      <c r="G27"/>
      <c r="H27"/>
      <c r="I27"/>
      <c r="J27"/>
      <c r="K27"/>
    </row>
    <row r="28" spans="3:14" x14ac:dyDescent="0.25">
      <c r="C28"/>
      <c r="D28"/>
      <c r="E28"/>
      <c r="F28"/>
      <c r="G28"/>
      <c r="H28"/>
      <c r="I28"/>
      <c r="J28"/>
      <c r="K28"/>
    </row>
    <row r="29" spans="3:14" x14ac:dyDescent="0.25">
      <c r="C29"/>
      <c r="D29"/>
      <c r="E29"/>
      <c r="F29"/>
      <c r="G29"/>
      <c r="H29"/>
      <c r="I29"/>
      <c r="J29"/>
      <c r="K29"/>
    </row>
    <row r="30" spans="3:14" x14ac:dyDescent="0.25">
      <c r="C30"/>
      <c r="D30"/>
      <c r="E30"/>
      <c r="F30"/>
      <c r="G30"/>
      <c r="H30"/>
      <c r="I30"/>
      <c r="J30"/>
      <c r="K30"/>
    </row>
    <row r="31" spans="3:14" x14ac:dyDescent="0.25">
      <c r="C31"/>
      <c r="D31"/>
      <c r="E31"/>
      <c r="F31"/>
      <c r="G31"/>
      <c r="H31"/>
      <c r="I31"/>
      <c r="J31"/>
      <c r="K31"/>
    </row>
    <row r="32" spans="3:14" x14ac:dyDescent="0.25">
      <c r="C32"/>
      <c r="D32"/>
      <c r="E32"/>
      <c r="F32"/>
      <c r="G32"/>
      <c r="H32"/>
      <c r="I32"/>
      <c r="J32"/>
      <c r="K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James Underwood</cp:lastModifiedBy>
  <cp:revision/>
  <dcterms:created xsi:type="dcterms:W3CDTF">2020-01-03T20:05:09Z</dcterms:created>
  <dcterms:modified xsi:type="dcterms:W3CDTF">2023-06-15T00:17:20Z</dcterms:modified>
  <cp:category/>
  <cp:contentStatus/>
</cp:coreProperties>
</file>